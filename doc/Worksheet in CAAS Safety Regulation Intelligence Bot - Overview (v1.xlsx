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5"/>
  <workbookPr showInkAnnotation="0" codeName="ThisWorkbook" defaultThemeVersion="124226"/>
  <xr:revisionPtr revIDLastSave="0" documentId="8_{C2A75B5D-BFC8-5840-BA19-F75CBB2A48F5}" xr6:coauthVersionLast="47" xr6:coauthVersionMax="47" xr10:uidLastSave="{00000000-0000-0000-0000-000000000000}"/>
  <workbookProtection lockStructure="1"/>
  <bookViews>
    <workbookView xWindow="25380" yWindow="600" windowWidth="39160" windowHeight="26900" xr2:uid="{00000000-000D-0000-FFFF-FFFF00000000}"/>
  </bookViews>
  <sheets>
    <sheet name="Risk points" sheetId="6" r:id="rId1"/>
    <sheet name="Guidance Questions" sheetId="2" r:id="rId2"/>
    <sheet name="Change History" sheetId="8" state="hidden" r:id="rId3"/>
    <sheet name="AMO" sheetId="4" state="hidden" r:id="rId4"/>
    <sheet name="Sheet1" sheetId="5" state="hidden" r:id="rId5"/>
    <sheet name="Sheet2" sheetId="7" state="hidden" r:id="rId6"/>
  </sheets>
  <definedNames>
    <definedName name="_xlnm._FilterDatabase" localSheetId="3" hidden="1">AMO!$A$1:$F$162</definedName>
    <definedName name="_xlnm._FilterDatabase" localSheetId="5" hidden="1">Sheet2!$D$2:$D$148</definedName>
    <definedName name="_xlnm.Print_Area" localSheetId="0">'Risk points'!$B$1:$O$33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3" i="5" l="1"/>
  <c r="Q5" i="5"/>
  <c r="G5" i="5"/>
  <c r="E5" i="5"/>
  <c r="Q4" i="5"/>
  <c r="G4" i="5"/>
  <c r="E4" i="5"/>
  <c r="Q3" i="5"/>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H23" i="6"/>
  <c r="G23" i="6"/>
  <c r="H22" i="6"/>
  <c r="H21" i="6"/>
  <c r="H20" i="6"/>
  <c r="H19" i="6"/>
  <c r="H18" i="6"/>
  <c r="H17" i="6"/>
  <c r="H16" i="6"/>
  <c r="H15" i="6"/>
  <c r="H14" i="6"/>
  <c r="H13" i="6"/>
  <c r="M12" i="6"/>
  <c r="H12" i="6"/>
  <c r="H11" i="6"/>
  <c r="H10" i="6"/>
  <c r="K9" i="6"/>
  <c r="H9" i="6"/>
  <c r="K8" i="6"/>
  <c r="H8" i="6"/>
  <c r="K7" i="6"/>
  <c r="K6" i="6"/>
  <c r="H4" i="6"/>
  <c r="C4" i="6"/>
  <c r="H3" i="6"/>
  <c r="H2" i="6"/>
  <c r="G3" i="5" l="1"/>
  <c r="H3" i="5" s="1"/>
  <c r="E3" i="5"/>
  <c r="F3" i="5" s="1"/>
  <c r="G2" i="5"/>
  <c r="E2" i="5"/>
  <c r="F5" i="5"/>
  <c r="H5" i="5"/>
  <c r="H4" i="5"/>
  <c r="F4" i="5"/>
  <c r="H2" i="5" l="1"/>
  <c r="F7" i="5"/>
  <c r="F2" i="5"/>
  <c r="F6" i="5"/>
  <c r="M5" i="5" l="1"/>
  <c r="L3" i="5"/>
  <c r="M3" i="5"/>
  <c r="F8" i="5"/>
  <c r="F9" i="5" s="1"/>
  <c r="D26" i="6" s="1"/>
  <c r="L4" i="5"/>
  <c r="N4" i="5"/>
  <c r="O5" i="5"/>
  <c r="T5" i="5" l="1"/>
  <c r="T3" i="5"/>
  <c r="T4" i="5"/>
</calcChain>
</file>

<file path=xl/sharedStrings.xml><?xml version="1.0" encoding="utf-8"?>
<sst xmlns="http://schemas.openxmlformats.org/spreadsheetml/2006/main" count="1439" uniqueCount="646">
  <si>
    <t>NO</t>
  </si>
  <si>
    <t>Approved sub-contractor</t>
  </si>
  <si>
    <t>REMARKS</t>
  </si>
  <si>
    <t>CATEGORY</t>
  </si>
  <si>
    <t>YES</t>
  </si>
  <si>
    <t>ORGANISATIONAL SCOPE &amp; STRATEGY</t>
  </si>
  <si>
    <t>RESOURCES</t>
  </si>
  <si>
    <t>OVERSIGHT/ SURVEILLANCE</t>
  </si>
  <si>
    <t>COMPLIANCE/ MATURITY</t>
  </si>
  <si>
    <t>Response to audit finding(s) within stipulated time</t>
  </si>
  <si>
    <t>Effective implementation of corrective actions</t>
  </si>
  <si>
    <t>Approved facility location within one city at home base only</t>
  </si>
  <si>
    <t>Number of 'C' and 'D' ratings held by the SAR-145 AMO</t>
  </si>
  <si>
    <t>Relocation / Merger (between 2 existing SAR-145 AMOs)</t>
  </si>
  <si>
    <t>OEM linked / designated MRO</t>
  </si>
  <si>
    <t>Years certified with SAR-145</t>
  </si>
  <si>
    <t>Quality Manager experience</t>
  </si>
  <si>
    <t>No.</t>
  </si>
  <si>
    <t>Guidance Questions</t>
  </si>
  <si>
    <t>How’s the Quality Manager’s responsiveness to CAAS?</t>
  </si>
  <si>
    <t>When there’s no ARC released for the year, are they ready to release any when there is a need?</t>
  </si>
  <si>
    <t>Are there any changes to the product range or ratings which could affect the product risk?</t>
  </si>
  <si>
    <t>Are there any significant finding during our audits?</t>
  </si>
  <si>
    <t>Low Tier 1</t>
  </si>
  <si>
    <t>High Tier 1</t>
  </si>
  <si>
    <t>Low Tier 2</t>
  </si>
  <si>
    <t>High Tier 2</t>
  </si>
  <si>
    <t>High Tier 3</t>
  </si>
  <si>
    <t>Low Tier 3</t>
  </si>
  <si>
    <t>MD</t>
  </si>
  <si>
    <t>A1 (LM)</t>
  </si>
  <si>
    <t>C ≥ 5</t>
  </si>
  <si>
    <t>C &lt; 5</t>
  </si>
  <si>
    <t>B</t>
  </si>
  <si>
    <t>D1</t>
  </si>
  <si>
    <t>D2</t>
  </si>
  <si>
    <t>A1 / 2 (BM)</t>
  </si>
  <si>
    <t>Fong Weng Khin</t>
  </si>
  <si>
    <t>Liew Tong Leng</t>
  </si>
  <si>
    <t>Boo Song Kwang</t>
  </si>
  <si>
    <t>Justin Wee</t>
  </si>
  <si>
    <t>Daniel Wee</t>
  </si>
  <si>
    <t>Alez Ching</t>
  </si>
  <si>
    <t>Teo Chye Heng</t>
  </si>
  <si>
    <t>Eugene Ng</t>
  </si>
  <si>
    <t>Leong Chin Sing</t>
  </si>
  <si>
    <t>PMI</t>
  </si>
  <si>
    <t>AMO</t>
  </si>
  <si>
    <t>AWI</t>
  </si>
  <si>
    <t>ratings</t>
  </si>
  <si>
    <t>Risk tier</t>
  </si>
  <si>
    <t>risk range low</t>
  </si>
  <si>
    <t>risk range high</t>
  </si>
  <si>
    <t>Vlookup risk level</t>
  </si>
  <si>
    <t>Vlookup ratings</t>
  </si>
  <si>
    <t>Total risk</t>
  </si>
  <si>
    <t>Total Rating</t>
  </si>
  <si>
    <t>Vlookup Taxonomy</t>
  </si>
  <si>
    <t>Cat</t>
  </si>
  <si>
    <t>AWI/220</t>
  </si>
  <si>
    <t>AWI/204</t>
  </si>
  <si>
    <t>Aero Industries (Singapore) Pte Ltd</t>
  </si>
  <si>
    <t>AWI/254</t>
  </si>
  <si>
    <t>Aerocandia Aviation Services Ltd</t>
  </si>
  <si>
    <t>AWI/381</t>
  </si>
  <si>
    <t>Aerospace Component Engineering Services Pte Ltd</t>
  </si>
  <si>
    <t>AWI/215</t>
  </si>
  <si>
    <t>AWI/353</t>
  </si>
  <si>
    <t>Air New Zealand Limited</t>
  </si>
  <si>
    <t>AWI/292</t>
  </si>
  <si>
    <t>AWI/273</t>
  </si>
  <si>
    <t>AWI/277</t>
  </si>
  <si>
    <t>Airfoil Services Sdn Bhd</t>
  </si>
  <si>
    <t>AWI/249</t>
  </si>
  <si>
    <t>AWI/360</t>
  </si>
  <si>
    <t>Ametek Singapore Pte Ltd</t>
  </si>
  <si>
    <t>AWI/257</t>
  </si>
  <si>
    <t>Arport Aircraft Maintenance &amp; Engineering (Fujian) Co., Ltd.</t>
  </si>
  <si>
    <t>AWI/392</t>
  </si>
  <si>
    <t>Asian Compressor Technology Services Co Ltd</t>
  </si>
  <si>
    <t>AWI/151</t>
  </si>
  <si>
    <t>AWI/116</t>
  </si>
  <si>
    <t>Asiana Airlines Inc.</t>
  </si>
  <si>
    <t>AWI/279</t>
  </si>
  <si>
    <t>Auxitrol Weston Singapore Pte. Ltd.</t>
  </si>
  <si>
    <t>AWI/207</t>
  </si>
  <si>
    <t>AWI/081</t>
  </si>
  <si>
    <t>Aviation Partnership Philippines Corporation</t>
  </si>
  <si>
    <t>AWI/222</t>
  </si>
  <si>
    <t>AWI/256</t>
  </si>
  <si>
    <t>Beijing Ou Tuo Technology Co. Ltd (Do Business As: Eltra Services Beijing)</t>
  </si>
  <si>
    <t>AWI/260</t>
  </si>
  <si>
    <t>Bell Textron Asia (Pte.) Ltd.</t>
  </si>
  <si>
    <t>AWI/067</t>
  </si>
  <si>
    <t>Bombardier Aerospace Services Singapore Pte Ltd</t>
  </si>
  <si>
    <t>AWI/335</t>
  </si>
  <si>
    <t>Bridgestone Aircraft Tire Company (China) Limited</t>
  </si>
  <si>
    <t>AWI/263</t>
  </si>
  <si>
    <t>AWI/302</t>
  </si>
  <si>
    <t>AWI/281</t>
  </si>
  <si>
    <t>China Airlines Ltd</t>
  </si>
  <si>
    <t>AWI/285</t>
  </si>
  <si>
    <t>Chromalloy (Thailand) Ltd</t>
  </si>
  <si>
    <t>AWI/382</t>
  </si>
  <si>
    <t>Cochin International Aviation Services Ltd</t>
  </si>
  <si>
    <t>AWI/322</t>
  </si>
  <si>
    <t>Component Aerospace Singapore Pte. Ltd.</t>
  </si>
  <si>
    <t>AWI/135</t>
  </si>
  <si>
    <t>AWI/077</t>
  </si>
  <si>
    <t>Coway Engineering &amp; Marketing Pte Ltd</t>
  </si>
  <si>
    <t>AWI/376</t>
  </si>
  <si>
    <t>AWI/318</t>
  </si>
  <si>
    <t>Diethelm Keller Aviation Pte Ltd</t>
  </si>
  <si>
    <t>AWI/216</t>
  </si>
  <si>
    <t>Direct Maintenance B.V.</t>
  </si>
  <si>
    <t>AWI/391</t>
  </si>
  <si>
    <t>Eagle Services Asia Pte Ltd</t>
  </si>
  <si>
    <t>AWI/166</t>
  </si>
  <si>
    <t>Eastern Airlines Technic Co., Ltd</t>
  </si>
  <si>
    <t>AWI/352</t>
  </si>
  <si>
    <t>Emirates Airlines</t>
  </si>
  <si>
    <t>AWI/293</t>
  </si>
  <si>
    <t>AWI/325</t>
  </si>
  <si>
    <t>AWI/395</t>
  </si>
  <si>
    <t>AWI/290</t>
  </si>
  <si>
    <t>AWI/233</t>
  </si>
  <si>
    <t>Fidel Engineering &amp; Trading Pte Ltd</t>
  </si>
  <si>
    <t>AWI/390</t>
  </si>
  <si>
    <t>Fuel Accessory Service Technologies Pte Ltd</t>
  </si>
  <si>
    <t>AWI/168</t>
  </si>
  <si>
    <t>AWI/160</t>
  </si>
  <si>
    <t>AWI/245</t>
  </si>
  <si>
    <t>AWI/354</t>
  </si>
  <si>
    <t>AWI/105</t>
  </si>
  <si>
    <t>AWI/142</t>
  </si>
  <si>
    <t>AWI/150</t>
  </si>
  <si>
    <t>Goodyear (Thailand) Public Company Ltd</t>
  </si>
  <si>
    <t>AWI/023</t>
  </si>
  <si>
    <t>Guangzhou Aircraft Maintenance Engineering Company</t>
  </si>
  <si>
    <t>AWI/276</t>
  </si>
  <si>
    <t>Guizhou Airport Group Company Limited</t>
  </si>
  <si>
    <t>AWI/372</t>
  </si>
  <si>
    <t>AWI/347</t>
  </si>
  <si>
    <t>Hamilton Sundstrand Customer Support Centre (M) Sdn Bhd</t>
  </si>
  <si>
    <t>AWI/147</t>
  </si>
  <si>
    <t>AWI/364</t>
  </si>
  <si>
    <t>AWI/305</t>
  </si>
  <si>
    <t>Honeywell Aerospace Singapore Pte. Ltd. (Gul Circle)</t>
  </si>
  <si>
    <t>AWI/038</t>
  </si>
  <si>
    <t>Hunan Airport Co. Ltd.</t>
  </si>
  <si>
    <t>AWI/393</t>
  </si>
  <si>
    <t>Hypercoat Enterprises Pte. Ltd.</t>
  </si>
  <si>
    <t>AWI/074</t>
  </si>
  <si>
    <t>AWI/137</t>
  </si>
  <si>
    <t>AWI/386</t>
  </si>
  <si>
    <t>Jet Aviation (Asia Pacific) Pte Ltd</t>
  </si>
  <si>
    <t>Jetstar Asia Airways Pte. Ltd.</t>
  </si>
  <si>
    <t>AWI/283</t>
  </si>
  <si>
    <t>AWI/321</t>
  </si>
  <si>
    <t>AWI/311</t>
  </si>
  <si>
    <t>Kuwait Airways</t>
  </si>
  <si>
    <t>AWI/304</t>
  </si>
  <si>
    <t>AWI/152</t>
  </si>
  <si>
    <t>AWI/269</t>
  </si>
  <si>
    <t>Malaysia Airlines Berhad</t>
  </si>
  <si>
    <t>AWI/295</t>
  </si>
  <si>
    <t>Meggitt Aerospace Asia Pacific Pte Ltd</t>
  </si>
  <si>
    <t>AWI/167</t>
  </si>
  <si>
    <t>Menzies Macau Airport Services Ltd</t>
  </si>
  <si>
    <t>AWI/313</t>
  </si>
  <si>
    <t>Michelin Siam Co., Ltd</t>
  </si>
  <si>
    <t>AWI/153</t>
  </si>
  <si>
    <t>AWI/388</t>
  </si>
  <si>
    <t>Moog Controls Corporation (Philippine Branch)</t>
  </si>
  <si>
    <t>AWI/255</t>
  </si>
  <si>
    <t>National Aviation Ground Support</t>
  </si>
  <si>
    <t>AWI/351</t>
  </si>
  <si>
    <t>AWI/342</t>
  </si>
  <si>
    <t>Pan Asia Pacific Aviation Services Limited</t>
  </si>
  <si>
    <t>AWI/162</t>
  </si>
  <si>
    <t>Panasonic Avionics Corporation</t>
  </si>
  <si>
    <t>AWI/275</t>
  </si>
  <si>
    <t>AWI/288</t>
  </si>
  <si>
    <t>AWI/164</t>
  </si>
  <si>
    <t>AWI/214</t>
  </si>
  <si>
    <t>AWI/070</t>
  </si>
  <si>
    <t>AWI/324</t>
  </si>
  <si>
    <t>AWI/192</t>
  </si>
  <si>
    <t>AWI/208</t>
  </si>
  <si>
    <t>Quanzhou Jinjiang International Airport Co., Ltd.</t>
  </si>
  <si>
    <t>AWI/371</t>
  </si>
  <si>
    <t>AWI/238</t>
  </si>
  <si>
    <t>AWI/138</t>
  </si>
  <si>
    <t>Royal Brunei Airlines Sdn Bhd</t>
  </si>
  <si>
    <t>AWI/289</t>
  </si>
  <si>
    <t>Sabena Aerospace Engineering</t>
  </si>
  <si>
    <t>AWI/291</t>
  </si>
  <si>
    <t>Safeair Technical Sdn. Bhd.</t>
  </si>
  <si>
    <t>AWI/333</t>
  </si>
  <si>
    <t>Safran Aircraft Engines</t>
  </si>
  <si>
    <t>AWI/234</t>
  </si>
  <si>
    <t>Safran Electronics &amp; Defense Services Asia Pte Ltd</t>
  </si>
  <si>
    <t>AWI/159</t>
  </si>
  <si>
    <t>Safran Helicopter Engines</t>
  </si>
  <si>
    <t>AWI/259</t>
  </si>
  <si>
    <t>Safran Helicopter Engines Asia Pte Ltd</t>
  </si>
  <si>
    <t>AWI/272</t>
  </si>
  <si>
    <t>Safran Landing Systems Services Singapore Pte. Ltd.</t>
  </si>
  <si>
    <t>AWI/005</t>
  </si>
  <si>
    <t>Satair Pte Ltd</t>
  </si>
  <si>
    <t>AWI/231</t>
  </si>
  <si>
    <t>Schaeffler Aerospace (Singapore) Pte. Ltd</t>
  </si>
  <si>
    <t>AWI/384</t>
  </si>
  <si>
    <t>Sepang Aircraft Engineering Sdn Bhd</t>
  </si>
  <si>
    <t>AWI/329</t>
  </si>
  <si>
    <t>AWI/069</t>
  </si>
  <si>
    <t>Shanghai Hangxin Aero-Mechanics Co. Ltd</t>
  </si>
  <si>
    <t>AWI/377</t>
  </si>
  <si>
    <t>Shenzhen Airport Co., Ltd.</t>
  </si>
  <si>
    <t>AWI/298</t>
  </si>
  <si>
    <t>AWI/262</t>
  </si>
  <si>
    <t>AWI/001</t>
  </si>
  <si>
    <t>AWI/389</t>
  </si>
  <si>
    <t>Sichuan Airlines Co. Ltd</t>
  </si>
  <si>
    <t>AWI/315</t>
  </si>
  <si>
    <t>AWI/355</t>
  </si>
  <si>
    <t>Singapore Aero Engine Services Pte Ltd</t>
  </si>
  <si>
    <t>AWI/191</t>
  </si>
  <si>
    <t>Singapore Component Solutions Pte Ltd</t>
  </si>
  <si>
    <t>AWI/373</t>
  </si>
  <si>
    <t>Singapore Test Services Pte Ltd</t>
  </si>
  <si>
    <t>AWI/046</t>
  </si>
  <si>
    <t>AWI/287</t>
  </si>
  <si>
    <t>Southern Airports Aircraft Maintenance Services Company Limited</t>
  </si>
  <si>
    <t>AWI/270</t>
  </si>
  <si>
    <t>AWI/284</t>
  </si>
  <si>
    <t>AWI/327</t>
  </si>
  <si>
    <t>AWI/034</t>
  </si>
  <si>
    <t>AWI/032</t>
  </si>
  <si>
    <t>AWI/102</t>
  </si>
  <si>
    <t>AWI/059</t>
  </si>
  <si>
    <t>Swiss International Air Lines Ltd</t>
  </si>
  <si>
    <t>AWI/299</t>
  </si>
  <si>
    <t>Taikoo (Xiamen) Aircraft Engineering Co Ltd</t>
  </si>
  <si>
    <t>AWI/143</t>
  </si>
  <si>
    <t>Taikoo Engine Services (Xiamen) Co. Ltd.</t>
  </si>
  <si>
    <t>AWI/345</t>
  </si>
  <si>
    <t>Telair International Services Pte Ltd</t>
  </si>
  <si>
    <t>AWI/165</t>
  </si>
  <si>
    <t>Thai Airways International Public Company Limited</t>
  </si>
  <si>
    <t>AWI/300</t>
  </si>
  <si>
    <t>AWI/092</t>
  </si>
  <si>
    <t>AWI/363</t>
  </si>
  <si>
    <t>Triumph Aviation Services Asia Ltd</t>
  </si>
  <si>
    <t>AWI/243</t>
  </si>
  <si>
    <t>Turbine Overhaul Services Pte Ltd</t>
  </si>
  <si>
    <t>AWI/050</t>
  </si>
  <si>
    <t>AWI/361</t>
  </si>
  <si>
    <t>Unilode Aviation Solutions Singapore Pte Ltd</t>
  </si>
  <si>
    <t>AWI/195</t>
  </si>
  <si>
    <t>United Airlines, Inc.</t>
  </si>
  <si>
    <t>AWI/319</t>
  </si>
  <si>
    <t>AWI/387</t>
  </si>
  <si>
    <t>Vietnam Airlines Engineering Company Limited</t>
  </si>
  <si>
    <t>AWI/314</t>
  </si>
  <si>
    <t>AWI/006</t>
  </si>
  <si>
    <t>AWI/106</t>
  </si>
  <si>
    <t>AWI/218</t>
  </si>
  <si>
    <t>Location</t>
  </si>
  <si>
    <t>Filename</t>
  </si>
  <si>
    <t>SCORE</t>
  </si>
  <si>
    <t>FACTOR</t>
  </si>
  <si>
    <t xml:space="preserve">Change of key management personnel (Accountable Manager / Quality Manager) </t>
  </si>
  <si>
    <t>Final Tier</t>
  </si>
  <si>
    <t xml:space="preserve">What is the product risk? Are they maintaining aircraft, engines, landing gears, flight controls, components that affect flight controls, NDT, special processes, cargo items or cabin items? </t>
  </si>
  <si>
    <t>Is the Quality Manager, and his quality team members, able to demonstrate independence?</t>
  </si>
  <si>
    <t>Does the organization always submit timely and good quality applications?</t>
  </si>
  <si>
    <t>Is the approved facility visually congested, or the layout well planned and orderly? Is there any environmentally uncomfortable feeling, or the environment is very suitable for the scheduled maintenance activities within the facility?</t>
  </si>
  <si>
    <t>Does the organization have difficulty meeting the SAR-145 requirements, or are they generally on top of the situation (despite the occasional findings)?</t>
  </si>
  <si>
    <t>Expiry Date</t>
  </si>
  <si>
    <t>Ipeco Singapore Pte Ltd</t>
  </si>
  <si>
    <t>Safran Aerosystems Services Asia Pte Ltd</t>
  </si>
  <si>
    <t>Windsor Airmotive Asia Pte. Ltd.</t>
  </si>
  <si>
    <t>AWI/396</t>
  </si>
  <si>
    <t>AWI/397</t>
  </si>
  <si>
    <t>Thales Solutions Asia Pte. Ltd.</t>
  </si>
  <si>
    <t>Ametek Reynosa Service Center</t>
  </si>
  <si>
    <t>Turkish Technic Inc.</t>
  </si>
  <si>
    <t>Are there any COVID-related factors that could have impacted the resources of the organisation?</t>
  </si>
  <si>
    <r>
      <rPr>
        <sz val="9"/>
        <color rgb="FFFF0000"/>
        <rFont val="Arial"/>
        <family val="2"/>
      </rPr>
      <t>Newly</t>
    </r>
    <r>
      <rPr>
        <sz val="9"/>
        <color theme="1"/>
        <rFont val="Arial"/>
        <family val="2"/>
      </rPr>
      <t xml:space="preserve"> Approved certifying staff (include privilege extension)</t>
    </r>
  </si>
  <si>
    <r>
      <rPr>
        <b/>
        <sz val="9"/>
        <color rgb="FFFF0000"/>
        <rFont val="Arial"/>
        <family val="2"/>
      </rPr>
      <t>3</t>
    </r>
    <r>
      <rPr>
        <b/>
        <sz val="9"/>
        <color theme="1"/>
        <rFont val="Arial"/>
        <family val="2"/>
      </rPr>
      <t xml:space="preserve"> (Least Desirable)</t>
    </r>
  </si>
  <si>
    <r>
      <t xml:space="preserve">Anonymous letter / Whistle blowing received / External Investigation </t>
    </r>
    <r>
      <rPr>
        <sz val="9"/>
        <color rgb="FFFF0000"/>
        <rFont val="Arial"/>
        <family val="2"/>
      </rPr>
      <t>and allegation deemed to be valid</t>
    </r>
  </si>
  <si>
    <r>
      <t xml:space="preserve">How mature is their SMS implementation </t>
    </r>
    <r>
      <rPr>
        <sz val="11"/>
        <color rgb="FFFF0000"/>
        <rFont val="Arial"/>
        <family val="2"/>
      </rPr>
      <t>based on our SMS assessment</t>
    </r>
    <r>
      <rPr>
        <sz val="11"/>
        <color rgb="FF000000"/>
        <rFont val="Arial"/>
        <family val="2"/>
      </rPr>
      <t>?</t>
    </r>
  </si>
  <si>
    <r>
      <t xml:space="preserve">How’s the senior management‘s attitude towards </t>
    </r>
    <r>
      <rPr>
        <sz val="11"/>
        <color rgb="FFFF0000"/>
        <rFont val="Arial"/>
        <family val="2"/>
      </rPr>
      <t>safety culture and quality system</t>
    </r>
    <r>
      <rPr>
        <sz val="11"/>
        <color rgb="FF000000"/>
        <rFont val="Arial"/>
        <family val="2"/>
      </rPr>
      <t>?</t>
    </r>
  </si>
  <si>
    <t>Any L1 audit finding from CAAS (time frame as specified below)</t>
  </si>
  <si>
    <t>Number of L2 audit finding from CAAS (time frame as specified below)</t>
  </si>
  <si>
    <t>SCORE
(S)</t>
  </si>
  <si>
    <t>WEIGHTAGE
(W)</t>
  </si>
  <si>
    <t>A1 (LM),
C &lt; 5, D1, D2</t>
  </si>
  <si>
    <t>Grand Total</t>
  </si>
  <si>
    <t>Tier based on Tier Points</t>
  </si>
  <si>
    <t>File Rev</t>
  </si>
  <si>
    <t>Lufthansa Technik Shenzhen Co., Ltd.</t>
  </si>
  <si>
    <t>F&amp;E Aircraft Maintenance (Miami) L.L.C</t>
  </si>
  <si>
    <t>M.R.O. Aviation Pte Ltd</t>
  </si>
  <si>
    <t>Bridgestone Aircraft Tire Manufacturing (Thailand) Co., Ltd.</t>
  </si>
  <si>
    <t>Honeywell Aerospace Avionics Malaysia Sdn. Bhd.</t>
  </si>
  <si>
    <t>AWI/206</t>
  </si>
  <si>
    <t>AWI/280</t>
  </si>
  <si>
    <t>AWI/294</t>
  </si>
  <si>
    <t>AWI/301</t>
  </si>
  <si>
    <t>AWI/398</t>
  </si>
  <si>
    <t>AWI/399</t>
  </si>
  <si>
    <t>AWI/400</t>
  </si>
  <si>
    <t>AWI/401</t>
  </si>
  <si>
    <t>SR Technics Malaysia Sdn Bhd</t>
  </si>
  <si>
    <t>AWI/402</t>
  </si>
  <si>
    <t>AWI/403</t>
  </si>
  <si>
    <t>Honeywell Aerospace de Mexico S. de R. L. de C. V.</t>
  </si>
  <si>
    <t>Highest Rating</t>
  </si>
  <si>
    <t>A1 (BM)</t>
  </si>
  <si>
    <t>Dallas Airmotive Asia-Pacific Pte Ltd</t>
  </si>
  <si>
    <t>Pratt &amp; Whitney Component Solutions Pte Ltd  dba Singapore Component Repair</t>
  </si>
  <si>
    <t>ST Engineering Aerospace Systems Pte. Ltd.</t>
  </si>
  <si>
    <t>Composite Technology International Pte. Ltd.</t>
  </si>
  <si>
    <t>Interiors Aeroservices Pte. Ltd.</t>
  </si>
  <si>
    <t>BT Airworks Pte. Ltd.</t>
  </si>
  <si>
    <t>Envirotainer (SIN) Pte. Ltd.</t>
  </si>
  <si>
    <t>Pratt &amp; Whitney Air New Zealand Services t/a Christchurch Engine Centre</t>
  </si>
  <si>
    <t>AVIC Qinling Aerospace (Xiamen) Ltd</t>
  </si>
  <si>
    <t>SIA Engineering (Philippines) Corporation</t>
  </si>
  <si>
    <t>Sichuan Services Aero Engine Maintenance</t>
  </si>
  <si>
    <t>SIA Engineering Company Limited</t>
  </si>
  <si>
    <t>ST Engineering Aerospace Services Company Pte. Ltd.</t>
  </si>
  <si>
    <t>GE Aviation, Engine Services - Singapore Pte. Ltd.</t>
  </si>
  <si>
    <t>Panasonic Avionics Services Singapore Pte Ltd (PACSS) - Loyang</t>
  </si>
  <si>
    <t>Panasonic Avionics Services Singapore Pte Ltd (PACSS) - Changi Airport</t>
  </si>
  <si>
    <t>ONTIC Engineering and Manufacturing  Asia Pacific Pte Ltd</t>
  </si>
  <si>
    <t>Jieyang Chaoshan Airport Company of Guangdong Airport Authority</t>
  </si>
  <si>
    <t>Setsco Services Pte. Ltd.</t>
  </si>
  <si>
    <t>Aviation &amp; Electronics Support Pte. Ltd.</t>
  </si>
  <si>
    <t>Rockwell Collins Southeast Asia Pte Ltd</t>
  </si>
  <si>
    <t>MOOG Aircraft Services Asia Pte Ltd</t>
  </si>
  <si>
    <t>British Airways PLC</t>
  </si>
  <si>
    <t>W.H. Brennan &amp; Company (Private) Limited</t>
  </si>
  <si>
    <t>ST Engineering Defence Aviation Services Pte. Ltd.</t>
  </si>
  <si>
    <t>Ensambladores Electronicos de Mexico, S. de R. L. de C. V.</t>
  </si>
  <si>
    <t>HAECO Composite Structures (Jinjiang) Co., Ltd</t>
  </si>
  <si>
    <t>Hamilton Sundstrand Poland Sp. z o.o.</t>
  </si>
  <si>
    <t>ST Engineering Aerospace Engines Pte Ltd</t>
  </si>
  <si>
    <t>Liebherr-Singapore Pte Ltd (Liebherr Aerospace Division)</t>
  </si>
  <si>
    <t>Lufthansa Technik AG</t>
  </si>
  <si>
    <t>Cathay Pacific Airways limited</t>
  </si>
  <si>
    <t>SIA Engineering Japan Corporation</t>
  </si>
  <si>
    <t>REVIMA</t>
  </si>
  <si>
    <t>GE AVIO S.R.L.</t>
  </si>
  <si>
    <t>Air Works India Engineering Pvt Ltd Commercial MRO</t>
  </si>
  <si>
    <t>AI Engineering Services Limited (AIESL)</t>
  </si>
  <si>
    <t>Pratt &amp; Whitney Canada (SEA) Pte. Ltd.</t>
  </si>
  <si>
    <t>Goodrich Aerospace Pte. Ltd.</t>
  </si>
  <si>
    <t>Goodrich Aerostructures Service Center - Asia Pte Ltd</t>
  </si>
  <si>
    <t>ACP Metal Finishing Pte Ltd</t>
  </si>
  <si>
    <t>Excel Aerospace Pte Ltd</t>
  </si>
  <si>
    <t>TP Aerospace Technics Pte. Ltd.</t>
  </si>
  <si>
    <t>Evergreen Aviation Technologies Corp. (EGAT)</t>
  </si>
  <si>
    <t>GE Engine Services Malaysia Sdn Bhd</t>
  </si>
  <si>
    <t>Asian Surface Technologies Pte. Ltd.</t>
  </si>
  <si>
    <t>Prime Aerospace Pte. Ltd.</t>
  </si>
  <si>
    <t>Vector Aerospace Asia Pte Ltd Dba StandardAero</t>
  </si>
  <si>
    <t>SriLankan Airlines Limited</t>
  </si>
  <si>
    <t>A2 (BM)</t>
  </si>
  <si>
    <t>Safran Electronics &amp; Defense Avionics Mexico S. A. de C. V.</t>
  </si>
  <si>
    <t>Goodrich TAECO Aeronautical Systems (Xiamen) Co Ltd</t>
  </si>
  <si>
    <t>MTU Maintenance Zhuhai Co Ltd</t>
  </si>
  <si>
    <t>PT. JAS Aero-Engineering Services</t>
  </si>
  <si>
    <t>Aircraft Maintenance &amp; Engineering Corporation
Beijing - Beijing Base</t>
  </si>
  <si>
    <t>SIA Engineering (USA)</t>
  </si>
  <si>
    <t>SR Technics Switzerland Ltd</t>
  </si>
  <si>
    <t>Société Air France</t>
  </si>
  <si>
    <t>HNA Aviation Technik Co Ltd</t>
  </si>
  <si>
    <t>KLM Royal Dutch Airlines (Engineering and Maintenance Division)</t>
  </si>
  <si>
    <t>JAL Engineering Co., Ltd.</t>
  </si>
  <si>
    <t>A1 (BM),
A2 (BM),
B</t>
  </si>
  <si>
    <t>TIER POINTS                            (S X W)</t>
  </si>
  <si>
    <t>Next Expiry Date</t>
  </si>
  <si>
    <t>1 (Most Desirable)</t>
  </si>
  <si>
    <t>Reason for upgrade / downgrade</t>
  </si>
  <si>
    <t>Tier based on PMI's assessment</t>
  </si>
  <si>
    <r>
      <t xml:space="preserve">Missed notification to CAAS (SAR145.85) </t>
    </r>
    <r>
      <rPr>
        <sz val="9"/>
        <color rgb="FFFF0000"/>
        <rFont val="Arial"/>
        <family val="2"/>
      </rPr>
      <t>or Missed mandatory occurrence reporting to CAAS</t>
    </r>
  </si>
  <si>
    <r>
      <rPr>
        <u/>
        <sz val="9"/>
        <color rgb="FFFF0000"/>
        <rFont val="Arial"/>
        <family val="2"/>
      </rPr>
      <t>&gt;</t>
    </r>
    <r>
      <rPr>
        <sz val="9"/>
        <color rgb="FFFF0000"/>
        <rFont val="Arial"/>
        <family val="2"/>
      </rPr>
      <t>1</t>
    </r>
    <r>
      <rPr>
        <sz val="9"/>
        <color theme="1"/>
        <rFont val="Arial"/>
        <family val="2"/>
      </rPr>
      <t xml:space="preserve"> changed in calendar year, or &gt;1 change within 3 months</t>
    </r>
  </si>
  <si>
    <t>No change or 1 changed once in calendar year</t>
  </si>
  <si>
    <t>DY(H) review</t>
  </si>
  <si>
    <t>226 - 300</t>
  </si>
  <si>
    <t>150 - 225</t>
  </si>
  <si>
    <t>126 - 149</t>
  </si>
  <si>
    <t>100 - 125</t>
  </si>
  <si>
    <t>Tolerance</t>
  </si>
  <si>
    <t>Cutoff</t>
  </si>
  <si>
    <t>Test</t>
  </si>
  <si>
    <t>Revision History</t>
  </si>
  <si>
    <t>Revision Number</t>
  </si>
  <si>
    <t>Date</t>
  </si>
  <si>
    <t>Change</t>
  </si>
  <si>
    <t>Initial</t>
  </si>
  <si>
    <t>Added DyH review</t>
  </si>
  <si>
    <t>Acp Metal Finishing Pte Ltd</t>
  </si>
  <si>
    <t>Aerospace Solutions Enterprises Pte Ltd</t>
  </si>
  <si>
    <t>Ai Engineering Services Limited</t>
  </si>
  <si>
    <t>Air Works India Engineering Pvt Ltd Commercial Mro</t>
  </si>
  <si>
    <t>Aircraft Maintenance And Engineering Corporation, Beijing(Ameco)</t>
  </si>
  <si>
    <t>Asia Digital Engineering</t>
  </si>
  <si>
    <t>Asian Surface Technologies Pte Ltd</t>
  </si>
  <si>
    <t>Aviation &amp; Electronics Support Pte Ltd</t>
  </si>
  <si>
    <t>Avic Qinling Aerospace (Xiamen) Ltd</t>
  </si>
  <si>
    <t>British Airways Plc</t>
  </si>
  <si>
    <t>Bt Airworks Pte Ltd</t>
  </si>
  <si>
    <t>Cathay Pacific Airways Limited</t>
  </si>
  <si>
    <t>Composite Technology International Pte Ltd</t>
  </si>
  <si>
    <t>Ensambladores Electronicos De Mexico, S. De R. L. De C. V.</t>
  </si>
  <si>
    <t>Envirotainer (Sin) Pte. Ltd.</t>
  </si>
  <si>
    <t>Epcor Bv</t>
  </si>
  <si>
    <t>Evergreen Aviation Technologies Corp. (Egat)</t>
  </si>
  <si>
    <t>Ge Aviation, Engine Services - Singapore Pte. Ltd.</t>
  </si>
  <si>
    <t>Ge Avio S.R.L.</t>
  </si>
  <si>
    <t>Ge Engine Services Malaysia Sdn Bhd</t>
  </si>
  <si>
    <t>Gmr Air Cargo And Aerospace Engineering Limited</t>
  </si>
  <si>
    <t>Goodrich Aerospace Pte Ltd</t>
  </si>
  <si>
    <t>Goodrich Aerostructures Service Center - Asia Pte. Ltd.</t>
  </si>
  <si>
    <t>Goodrich Taeco Aeronautical Systems (Xiamen) Co Ltd</t>
  </si>
  <si>
    <t>Haeco Composite Structures (Jinjiang) Co., Ltd</t>
  </si>
  <si>
    <t>Hamilton Sundstrand Poland Sp. Z O.O.</t>
  </si>
  <si>
    <t>Hna Aviation Technic Co., Ltd.</t>
  </si>
  <si>
    <t>Honeywell Aerospace De Mexico S De Rl De Cv</t>
  </si>
  <si>
    <t>Interiors Aeroservices Pte Ltd</t>
  </si>
  <si>
    <t>Jal Engineering Co., Ltd.</t>
  </si>
  <si>
    <t>Jieyang Chaoshan Airport Company Of Guangdong Airport Authority</t>
  </si>
  <si>
    <t>Klm Royal Dutch Airlines (Engineering And Maintenance Division)</t>
  </si>
  <si>
    <t>Lao Airlines State Enterprise</t>
  </si>
  <si>
    <t>Liebherr-Singapore Pte Ltd</t>
  </si>
  <si>
    <t>Luftavia Limited</t>
  </si>
  <si>
    <t>Lufthansa Technik Ag</t>
  </si>
  <si>
    <t>Mab Engineering Services Sdn. Bhd.</t>
  </si>
  <si>
    <t>Moog Aircraft Services Asia Pte Ltd</t>
  </si>
  <si>
    <t>Mtu Maintenance Hannover Gmbh</t>
  </si>
  <si>
    <t>Mtu Maintenance Zhuhai Co Ltd</t>
  </si>
  <si>
    <t>Ontic Engineering And Manufacturing Asia Pacific Pte Ltd</t>
  </si>
  <si>
    <t>Panasonic Avionics Services Singapore Pte Ltd (Pacss) - Bedok</t>
  </si>
  <si>
    <t>Panasonic Avionics Services Singapore Pte Ltd (Pacss) - Changi Airport</t>
  </si>
  <si>
    <t>Pratt &amp; Whitney Canada (Sea) Pte Ltd</t>
  </si>
  <si>
    <t>Pratt &amp; Whitney Component Solutions Pte Ltd Dba Singapore Component Repair</t>
  </si>
  <si>
    <t>Pt. Jas Aero-Engineering Services</t>
  </si>
  <si>
    <t>Revima</t>
  </si>
  <si>
    <t>Revima Asia Pacific Ltd.</t>
  </si>
  <si>
    <t>Rockwell Collins South East Asia Pte Ltd</t>
  </si>
  <si>
    <t>S&amp;E Corporation Pte. Ltd.</t>
  </si>
  <si>
    <t>Safran Electronics &amp; Defense Avionics Mexico S. A. De C. V.</t>
  </si>
  <si>
    <t>Setsco Services Pte Ltd</t>
  </si>
  <si>
    <t>Shanghai Pratt &amp; Whitney Aircraft Engine Maintenance Co., Ltd.</t>
  </si>
  <si>
    <t>Sia Engineering (Philippines) Corporation</t>
  </si>
  <si>
    <t>Sia Engineering (Usa)</t>
  </si>
  <si>
    <t>Sia Engineering Company Limited</t>
  </si>
  <si>
    <t>Sia Engineering Japan Corporation</t>
  </si>
  <si>
    <t>Sichuan Services Aero Engine Maintenance Company</t>
  </si>
  <si>
    <t>Srilankan Airlines Limited</t>
  </si>
  <si>
    <t>St Engineering Aerospace Engines Pte. Ltd.</t>
  </si>
  <si>
    <t>St Engineering Aerospace Services Company Pte. Ltd.</t>
  </si>
  <si>
    <t>St Engineering Aerospace Systems Pte. Ltd.</t>
  </si>
  <si>
    <t>St Engineering Defence Aviation Services Pte. Ltd.</t>
  </si>
  <si>
    <t>Tp Aerospace Technics Pte. Ltd.</t>
  </si>
  <si>
    <t>Vector Aerospace Asia Pte Ltd Dba Standardaero</t>
  </si>
  <si>
    <t>W. H. Brennan &amp; Co Pte Ltd</t>
  </si>
  <si>
    <t>Wuhan Hangda Aero Science &amp; Technology Development Co., Ltd.</t>
  </si>
  <si>
    <t>AWI/416</t>
  </si>
  <si>
    <t>AWI/407</t>
  </si>
  <si>
    <t>AWI/410</t>
  </si>
  <si>
    <t>AWI/405</t>
  </si>
  <si>
    <t>AWI/414</t>
  </si>
  <si>
    <t>AWI/404</t>
  </si>
  <si>
    <t>AWI/413</t>
  </si>
  <si>
    <t>AWI/406</t>
  </si>
  <si>
    <t>AWI/417</t>
  </si>
  <si>
    <t>AWI/412</t>
  </si>
  <si>
    <t>AWI/415</t>
  </si>
  <si>
    <t>AWI/409</t>
  </si>
  <si>
    <t>B1</t>
  </si>
  <si>
    <t>Ratings</t>
  </si>
  <si>
    <t>D1, D2</t>
  </si>
  <si>
    <t>A1LM</t>
  </si>
  <si>
    <t>C7, C8, C12, C14, D1</t>
  </si>
  <si>
    <t>C6, C20</t>
  </si>
  <si>
    <t>C7</t>
  </si>
  <si>
    <t>C7, C12, C13</t>
  </si>
  <si>
    <t>C1, C3, C4, C5, C6, C7, C13, C14, C15, C18</t>
  </si>
  <si>
    <t>C7, D1, D2</t>
  </si>
  <si>
    <t>C5</t>
  </si>
  <si>
    <t>C3, C4, C5, C6, C8, C13, C18</t>
  </si>
  <si>
    <t>A1BM, A1LM, A2, A3, C5, C10, C11</t>
  </si>
  <si>
    <t>A1BM, A1LM, C5, C6, C14, C20, D1</t>
  </si>
  <si>
    <t>C14</t>
  </si>
  <si>
    <t>C6</t>
  </si>
  <si>
    <t>C10</t>
  </si>
  <si>
    <t>C1, C7, C14, D1, D2</t>
  </si>
  <si>
    <t>B1, C7</t>
  </si>
  <si>
    <t>C2</t>
  </si>
  <si>
    <t>B3</t>
  </si>
  <si>
    <t>A1LM, C7</t>
  </si>
  <si>
    <t>C6, MD1, MD2</t>
  </si>
  <si>
    <t>C7, D1</t>
  </si>
  <si>
    <t>C1, C5, C6, C7, C8, C9, C10, C18, MD1, MD2</t>
  </si>
  <si>
    <t>B1, C5, C7, C8, C12, C17, C18, C20</t>
  </si>
  <si>
    <t>C7, C8</t>
  </si>
  <si>
    <t>C1, C7, C9, C17, C18</t>
  </si>
  <si>
    <t>C2, C3, C13</t>
  </si>
  <si>
    <t>C1, C5, C7, C9, C12, C17</t>
  </si>
  <si>
    <t>B3, C1, C5, C7, C8, C12, C17, C18, MD1, MD2</t>
  </si>
  <si>
    <t>A1BM, A1LM, C5, C14</t>
  </si>
  <si>
    <t>C1, C4, C8, C14, C17, C18, MD1, MD2</t>
  </si>
  <si>
    <t>C1, C2, C5, C6, C7, C8, C12, C14, C17, C18, C20</t>
  </si>
  <si>
    <t>A2</t>
  </si>
  <si>
    <t>A1BM, A1LM</t>
  </si>
  <si>
    <t>C8</t>
  </si>
  <si>
    <t>C2, C8, C14</t>
  </si>
  <si>
    <t>B1, C7, C17, C18</t>
  </si>
  <si>
    <t>C3, C8, C9, C13</t>
  </si>
  <si>
    <t>C3, C6</t>
  </si>
  <si>
    <t>B1, B3, C7, D1, D2</t>
  </si>
  <si>
    <t>C5, C12, C14, C20</t>
  </si>
  <si>
    <t>C1, C2, C3, C4, C5, C6, C7, C8, C9, C12, C13, C14, C15, C17, C18</t>
  </si>
  <si>
    <t>C2, C6, C7, C8, C9</t>
  </si>
  <si>
    <t>C8, C12, C14, C20, D1</t>
  </si>
  <si>
    <t>C3, C5, C6, C14, C18, MD1, MD2</t>
  </si>
  <si>
    <t>A1BM, A1LM, C4, C5, C6, C8, C18, C20</t>
  </si>
  <si>
    <t>A1BM, A1LM, B1, B3, C1, C4, C5, C6, C7, C8, C9, C13, C14, C15, C17, C18, C19, C20, D1, D2, MD1, MD2</t>
  </si>
  <si>
    <t>B1, C7, C18</t>
  </si>
  <si>
    <t>C1, C2, C3, C5, C6, C7, C8, C9, C13, C14, C15, C16, C17, C18</t>
  </si>
  <si>
    <t>A1LM, B1</t>
  </si>
  <si>
    <t>C1, C3, C4, C5, C6, C7, C8, C9, C12, C14, C17, C18</t>
  </si>
  <si>
    <t>B1, C7, C18, D1, D2</t>
  </si>
  <si>
    <t>A1BM, A1LM, B1, D1</t>
  </si>
  <si>
    <t>B2, C1, C2, C3, C4, C5, C6, C7, C8, C9, C10, C11, C12, C13, C14, C15, C16, C17, C18, C19, C20, D1, D2</t>
  </si>
  <si>
    <t>C6, C15, C17, C18, MD1, MD2</t>
  </si>
  <si>
    <t>Wong Chew Wah</t>
  </si>
  <si>
    <t>Soh Sheng Wen</t>
  </si>
  <si>
    <t>Alvin Leong</t>
  </si>
  <si>
    <t>Koh Li Xian</t>
  </si>
  <si>
    <t>Scoring to be reviewed by Dy Heads</t>
  </si>
  <si>
    <t>Quantitative Analysis</t>
  </si>
  <si>
    <t>Qualitative Analysis</t>
  </si>
  <si>
    <t>Dy Heads</t>
  </si>
  <si>
    <t>Final Tier to be filled by:</t>
  </si>
  <si>
    <t>1) Update AMO List
2) Update highest rating formula
3) Update DyH review tolerance to 20%
4) Added description for results
5) Removed "To be decided by Dy Heads" for Final Tier and added auto prompt
6) Corrected cutoff formula in Sheet 1
7) Corrected MD rating formula in Sheet 1
8) Updated formula for "Scoring to be reviewed by Dy Heads"
9) Updated risk matrix highlighting formula</t>
  </si>
  <si>
    <t>Aar Component Services (Thailand) Ltd.</t>
  </si>
  <si>
    <t>SociÃ©tÃ© Air France</t>
  </si>
  <si>
    <t>Asia Pacific Aircraft Component Services Sdn Bhd</t>
  </si>
  <si>
    <t>AWI/418</t>
  </si>
  <si>
    <t>Goodrich Customer Services Inc. (Operating As Collins Aerospace)</t>
  </si>
  <si>
    <t>AWI/419</t>
  </si>
  <si>
    <t>Pos Aviation Engineering Services Sdn. Bhd.</t>
  </si>
  <si>
    <t>AWI/420</t>
  </si>
  <si>
    <t>Kalitta Air, Llc Dba Kalitta Maintenance</t>
  </si>
  <si>
    <t>AWI/421</t>
  </si>
  <si>
    <t>Proponent S.E.A. Pte. Ltd.</t>
  </si>
  <si>
    <t>AWI/422</t>
  </si>
  <si>
    <t>Honeywell Taeco Aerospace (Xiamen) Co., Ltd</t>
  </si>
  <si>
    <t>AWI/423</t>
  </si>
  <si>
    <t>Sr Technics Line Maintenance Ag</t>
  </si>
  <si>
    <t>AWI/424</t>
  </si>
  <si>
    <t>Island Aviation Services Limited</t>
  </si>
  <si>
    <t>AWI/425</t>
  </si>
  <si>
    <t>Korean Air</t>
  </si>
  <si>
    <t>AWI/426</t>
  </si>
  <si>
    <t>Eaton Samc (Shanghai) Aircraft Conveyance System Manufacturing Co.,Ltd</t>
  </si>
  <si>
    <t>AWI/427</t>
  </si>
  <si>
    <t>B/E Aerospace B.V. - (Phil Branch)</t>
  </si>
  <si>
    <t>AWI/428</t>
  </si>
  <si>
    <t>Fl Technics,Uab</t>
  </si>
  <si>
    <t>AWI/430</t>
  </si>
  <si>
    <t>Btas Aerospace</t>
  </si>
  <si>
    <t>AWI/431</t>
  </si>
  <si>
    <t>Airbus</t>
  </si>
  <si>
    <t>A2, A3, C5, C14, D1</t>
  </si>
  <si>
    <t>C3, C5, C6, C12, C13, MD1, MD2</t>
  </si>
  <si>
    <t>C4, C5, C6, C7, C8, C14, C17, C18</t>
  </si>
  <si>
    <t>C1, C4, C7, C8, C12, C14, C20</t>
  </si>
  <si>
    <t>B3, C1, C5, C7, C17, C18</t>
  </si>
  <si>
    <t>A1BM</t>
  </si>
  <si>
    <t>Avien Aw</t>
  </si>
  <si>
    <t>1) Update AMO List</t>
  </si>
  <si>
    <t>Aviate Services Singapore Pte Ltd</t>
  </si>
  <si>
    <t>Crystal Aero Solutions</t>
  </si>
  <si>
    <t>Dka Aerospace Pte. Ltd.</t>
  </si>
  <si>
    <t>Excel Aerospace Pte. Ltd.</t>
  </si>
  <si>
    <t>Gkn Engine Systems Component Repair Sdn. Bhd.</t>
  </si>
  <si>
    <t>G-Mech Services Pte. Ltd.</t>
  </si>
  <si>
    <t>Mro Japan Co., Ltd.</t>
  </si>
  <si>
    <t>N3 Engine Overhaul Services Gmbh &amp; Co. Kg</t>
  </si>
  <si>
    <t>Nayak-Lm Gmbh</t>
  </si>
  <si>
    <t>Raytheon Technologies Corporation Dba Pratt Whitney Columbus Engine Center</t>
  </si>
  <si>
    <t>Rolls-Royce Deutschland Ltd &amp; Co Kg</t>
  </si>
  <si>
    <t>Safran Electrical &amp; Power Singapore Pte. Ltd.</t>
  </si>
  <si>
    <t>Southeast Asia Aircraft Maintenance Services Co Ltd</t>
  </si>
  <si>
    <t>Storm Aviation Limited</t>
  </si>
  <si>
    <t>Taikoo (Xiamen) Landing Gear Services Co., Ltd.</t>
  </si>
  <si>
    <t>AWI/438</t>
  </si>
  <si>
    <t>AWI/435</t>
  </si>
  <si>
    <t>AWI/433</t>
  </si>
  <si>
    <t>AWI/441</t>
  </si>
  <si>
    <t>AWI/444</t>
  </si>
  <si>
    <t>AWI/432</t>
  </si>
  <si>
    <t>AWI/439</t>
  </si>
  <si>
    <t>AWI/443</t>
  </si>
  <si>
    <t>AWI/436</t>
  </si>
  <si>
    <t>AWI/445</t>
  </si>
  <si>
    <t>AWI/437</t>
  </si>
  <si>
    <t>AWI/440</t>
  </si>
  <si>
    <t>AWI/442</t>
  </si>
  <si>
    <t>AWI/434</t>
  </si>
  <si>
    <t>C1, C3, C4, C5, C6, C7, C8, C9, C12, C14, C17, C18, D1</t>
  </si>
  <si>
    <t>C1, C5, C7, C9, C11, C12, C13, C17, C18, MD1, MD2</t>
  </si>
  <si>
    <t>C20</t>
  </si>
  <si>
    <t>B1, C7, D1</t>
  </si>
  <si>
    <t>C1, C7, C17</t>
  </si>
  <si>
    <t>C7, C20</t>
  </si>
  <si>
    <t>C1, C5, C6, C9, C12, C15, C17, C18, MD1, MD2</t>
  </si>
  <si>
    <t>C5, C7, C14, C18</t>
  </si>
  <si>
    <t>C1, C2, C3, C4, C5, C6, C7, C8, C12, C13, C14, C15, C17, C18</t>
  </si>
  <si>
    <t>C5, C8, C14, C18</t>
  </si>
  <si>
    <t>C1, C2, C3, C4, C5, C6, C7, C8, C9, C12, C13, C14, C16, C18</t>
  </si>
  <si>
    <t>Jocelyn Neo</t>
  </si>
  <si>
    <t>TOTAL TIER POINTS FOR AMO BETWEEN 01 SEP 2024 TO 31 AUG 2025</t>
  </si>
  <si>
    <t>AWI/446</t>
  </si>
  <si>
    <t>Haeco Component Overhaul (Xiamen) Limited</t>
  </si>
  <si>
    <t>ATC Aviation Pte Ltd</t>
  </si>
  <si>
    <t>AWI/448</t>
  </si>
  <si>
    <t>Qsa Aeronautical Engineering Services</t>
  </si>
  <si>
    <t>AWI/447</t>
  </si>
  <si>
    <t>&lt;3</t>
  </si>
  <si>
    <t>≥3</t>
  </si>
  <si>
    <t>&lt;8</t>
  </si>
  <si>
    <t>≥8 added or privilege extended, or AMO has 1 certifying staff only</t>
  </si>
  <si>
    <r>
      <rPr>
        <sz val="9"/>
        <color rgb="FFFF0000"/>
        <rFont val="Arial"/>
        <family val="2"/>
      </rPr>
      <t>&gt;7</t>
    </r>
    <r>
      <rPr>
        <sz val="9"/>
        <color theme="1"/>
        <rFont val="Arial"/>
        <family val="2"/>
      </rPr>
      <t xml:space="preserve"> years in QA &amp; aviation industry</t>
    </r>
  </si>
  <si>
    <r>
      <rPr>
        <u/>
        <sz val="9"/>
        <color rgb="FFFF0000"/>
        <rFont val="Arial"/>
        <family val="2"/>
      </rPr>
      <t>&lt;7</t>
    </r>
    <r>
      <rPr>
        <sz val="9"/>
        <color theme="1"/>
        <rFont val="Arial"/>
        <family val="2"/>
      </rPr>
      <t xml:space="preserve"> years in QA &amp; aviation industry</t>
    </r>
  </si>
  <si>
    <t>&lt;1</t>
  </si>
  <si>
    <t>≥1</t>
  </si>
  <si>
    <r>
      <rPr>
        <u/>
        <sz val="9"/>
        <color rgb="FFFF0000"/>
        <rFont val="Arial"/>
        <family val="2"/>
      </rPr>
      <t>&lt;3</t>
    </r>
    <r>
      <rPr>
        <sz val="9"/>
        <color theme="1"/>
        <rFont val="Arial"/>
        <family val="2"/>
      </rPr>
      <t xml:space="preserve"> years</t>
    </r>
  </si>
  <si>
    <t>&gt;3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</si>
</sst>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14809]d\ mmm\ yyyy;@"/>
    <numFmt numFmtId="166" formatCode="[$-14809]d/m/yyyy;@"/>
  </numFmts>
  <fonts count="24" x14ac:knownFonts="1">
    <font>
      <sz val="11"/>
      <color theme="1"/>
      <name val="Calibri"/>
      <family val="2"/>
      <scheme val="minor"/>
    </font>
    <font>
      <sz val="11"/>
      <color theme="1"/>
      <name val="Calibri"/>
      <family val="2"/>
    </font>
    <font>
      <sz val="11"/>
      <color rgb="FF000000"/>
      <name val="Arial"/>
      <family val="2"/>
    </font>
    <font>
      <sz val="11"/>
      <color theme="1"/>
      <name val="Arial"/>
      <family val="2"/>
    </font>
    <font>
      <b/>
      <sz val="11"/>
      <color theme="1"/>
      <name val="Calibri"/>
      <family val="2"/>
      <scheme val="minor"/>
    </font>
    <font>
      <sz val="9"/>
      <color theme="1"/>
      <name val="Arial"/>
      <family val="2"/>
    </font>
    <font>
      <b/>
      <sz val="8"/>
      <color theme="1"/>
      <name val="Arial"/>
      <family val="2"/>
    </font>
    <font>
      <sz val="8"/>
      <color theme="1"/>
      <name val="Arial"/>
      <family val="2"/>
    </font>
    <font>
      <b/>
      <sz val="8"/>
      <color theme="0"/>
      <name val="Arial"/>
      <family val="2"/>
    </font>
    <font>
      <b/>
      <sz val="9"/>
      <color theme="1"/>
      <name val="Arial"/>
      <family val="2"/>
    </font>
    <font>
      <b/>
      <sz val="9"/>
      <color rgb="FFFF0000"/>
      <name val="Arial"/>
      <family val="2"/>
    </font>
    <font>
      <b/>
      <sz val="9"/>
      <color theme="0"/>
      <name val="Arial"/>
      <family val="2"/>
    </font>
    <font>
      <b/>
      <sz val="9"/>
      <name val="Arial"/>
      <family val="2"/>
    </font>
    <font>
      <sz val="9"/>
      <name val="Arial"/>
      <family val="2"/>
    </font>
    <font>
      <u/>
      <sz val="11"/>
      <color theme="10"/>
      <name val="Calibri"/>
      <family val="2"/>
      <scheme val="minor"/>
    </font>
    <font>
      <sz val="9"/>
      <color theme="0"/>
      <name val="Arial"/>
      <family val="2"/>
    </font>
    <font>
      <sz val="11"/>
      <name val="Calibri"/>
      <family val="2"/>
      <scheme val="minor"/>
    </font>
    <font>
      <sz val="9"/>
      <color rgb="FFFF0000"/>
      <name val="Arial"/>
      <family val="2"/>
    </font>
    <font>
      <u/>
      <sz val="9"/>
      <color rgb="FFFF0000"/>
      <name val="Arial"/>
      <family val="2"/>
    </font>
    <font>
      <sz val="8"/>
      <name val="Calibri"/>
      <family val="2"/>
      <scheme val="minor"/>
    </font>
    <font>
      <sz val="11"/>
      <color rgb="FFFF0000"/>
      <name val="Arial"/>
      <family val="2"/>
    </font>
    <font>
      <b/>
      <sz val="9"/>
      <color theme="0" tint="-0.14999847407452621"/>
      <name val="Arial"/>
      <family val="2"/>
    </font>
    <font>
      <sz val="10"/>
      <name val="Arial"/>
      <family val="2"/>
    </font>
    <font>
      <u/>
      <sz val="10"/>
      <color indexed="12"/>
      <name val="Arial"/>
      <family val="2"/>
    </font>
  </fonts>
  <fills count="1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00B0F0"/>
        <bgColor indexed="64"/>
      </patternFill>
    </fill>
    <fill>
      <patternFill patternType="solid">
        <fgColor rgb="FFD60093"/>
        <bgColor indexed="64"/>
      </patternFill>
    </fill>
    <fill>
      <patternFill patternType="solid">
        <fgColor theme="0" tint="-0.34998626667073579"/>
        <bgColor indexed="64"/>
      </patternFill>
    </fill>
    <fill>
      <patternFill patternType="solid">
        <fgColor rgb="FFFCD5B4"/>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rgb="FFFFFF00"/>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medium">
        <color indexed="64"/>
      </right>
      <top style="medium">
        <color indexed="64"/>
      </top>
      <bottom style="thin">
        <color indexed="64"/>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medium">
        <color indexed="64"/>
      </top>
      <bottom/>
      <diagonal/>
    </border>
  </borders>
  <cellStyleXfs count="5">
    <xf numFmtId="0" fontId="0" fillId="0" borderId="0"/>
    <xf numFmtId="0" fontId="14" fillId="0" borderId="0" applyNumberFormat="0" applyFill="0" applyBorder="0" applyAlignment="0" applyProtection="0"/>
    <xf numFmtId="0" fontId="22" fillId="0" borderId="0"/>
    <xf numFmtId="0" fontId="23" fillId="0" borderId="0" applyNumberFormat="0" applyFill="0" applyBorder="0" applyAlignment="0" applyProtection="0">
      <alignment vertical="top"/>
      <protection locked="0"/>
    </xf>
    <xf numFmtId="0" fontId="22" fillId="0" borderId="0">
      <alignment vertical="center"/>
    </xf>
  </cellStyleXfs>
  <cellXfs count="234">
    <xf numFmtId="0" fontId="0" fillId="0" borderId="0" xfId="0"/>
    <xf numFmtId="0" fontId="5"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5" fillId="4" borderId="5" xfId="0" applyFont="1" applyFill="1" applyBorder="1" applyAlignment="1" applyProtection="1">
      <alignment horizontal="center" vertical="center"/>
      <protection locked="0"/>
    </xf>
    <xf numFmtId="0" fontId="5" fillId="4" borderId="8" xfId="0" applyFont="1" applyFill="1" applyBorder="1" applyAlignment="1" applyProtection="1">
      <alignment horizontal="center" vertical="center"/>
      <protection locked="0"/>
    </xf>
    <xf numFmtId="0" fontId="5" fillId="4" borderId="10" xfId="0" applyFont="1" applyFill="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11" fillId="8" borderId="1"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hidden="1"/>
    </xf>
    <xf numFmtId="0" fontId="12" fillId="5" borderId="5" xfId="0" applyFont="1" applyFill="1" applyBorder="1" applyAlignment="1" applyProtection="1">
      <alignment horizontal="center" vertical="center"/>
      <protection hidden="1"/>
    </xf>
    <xf numFmtId="0" fontId="12" fillId="5" borderId="10" xfId="0" applyFont="1" applyFill="1" applyBorder="1" applyAlignment="1" applyProtection="1">
      <alignment horizontal="center" vertical="center"/>
      <protection hidden="1"/>
    </xf>
    <xf numFmtId="0" fontId="10" fillId="5" borderId="39" xfId="0" applyFont="1" applyFill="1" applyBorder="1" applyAlignment="1" applyProtection="1">
      <alignment horizontal="center" vertical="center"/>
      <protection hidden="1"/>
    </xf>
    <xf numFmtId="0" fontId="10" fillId="5" borderId="50" xfId="0" applyFont="1" applyFill="1" applyBorder="1" applyAlignment="1" applyProtection="1">
      <alignment horizontal="center" vertical="center" wrapText="1"/>
      <protection hidden="1"/>
    </xf>
    <xf numFmtId="0" fontId="12" fillId="5" borderId="39" xfId="0" applyFont="1" applyFill="1" applyBorder="1" applyAlignment="1" applyProtection="1">
      <alignment horizontal="center" vertical="center"/>
      <protection hidden="1"/>
    </xf>
    <xf numFmtId="0" fontId="12" fillId="5" borderId="40" xfId="0" applyFont="1" applyFill="1" applyBorder="1" applyAlignment="1" applyProtection="1">
      <alignment horizontal="center" vertical="center"/>
      <protection hidden="1"/>
    </xf>
    <xf numFmtId="0" fontId="12" fillId="5" borderId="50" xfId="0" applyFont="1" applyFill="1" applyBorder="1" applyAlignment="1" applyProtection="1">
      <alignment horizontal="center" vertical="center"/>
      <protection hidden="1"/>
    </xf>
    <xf numFmtId="0" fontId="17" fillId="2" borderId="24" xfId="0" applyFont="1" applyFill="1" applyBorder="1" applyAlignment="1" applyProtection="1">
      <alignment horizontal="center" vertical="center"/>
      <protection hidden="1"/>
    </xf>
    <xf numFmtId="0" fontId="17" fillId="0" borderId="8" xfId="0" applyFont="1" applyBorder="1" applyAlignment="1" applyProtection="1">
      <alignment horizontal="center" vertical="center"/>
      <protection hidden="1"/>
    </xf>
    <xf numFmtId="16" fontId="5" fillId="2" borderId="9" xfId="0" quotePrefix="1" applyNumberFormat="1" applyFont="1" applyFill="1" applyBorder="1" applyAlignment="1" applyProtection="1">
      <alignment horizontal="center" vertical="center"/>
      <protection hidden="1"/>
    </xf>
    <xf numFmtId="16" fontId="13" fillId="2" borderId="5" xfId="0" quotePrefix="1" applyNumberFormat="1" applyFont="1" applyFill="1" applyBorder="1" applyAlignment="1" applyProtection="1">
      <alignment horizontal="center" vertical="center"/>
      <protection hidden="1"/>
    </xf>
    <xf numFmtId="16" fontId="13" fillId="2" borderId="9" xfId="0" quotePrefix="1" applyNumberFormat="1" applyFont="1" applyFill="1" applyBorder="1" applyAlignment="1" applyProtection="1">
      <alignment horizontal="center" vertical="center"/>
      <protection hidden="1"/>
    </xf>
    <xf numFmtId="16" fontId="5" fillId="2" borderId="5" xfId="0" quotePrefix="1" applyNumberFormat="1" applyFont="1" applyFill="1" applyBorder="1" applyAlignment="1" applyProtection="1">
      <alignment horizontal="center" vertical="center"/>
      <protection hidden="1"/>
    </xf>
    <xf numFmtId="16" fontId="13" fillId="2" borderId="25" xfId="0" quotePrefix="1" applyNumberFormat="1" applyFont="1" applyFill="1" applyBorder="1" applyAlignment="1" applyProtection="1">
      <alignment horizontal="center" vertical="center"/>
      <protection hidden="1"/>
    </xf>
    <xf numFmtId="16" fontId="13" fillId="2" borderId="10" xfId="0" quotePrefix="1" applyNumberFormat="1" applyFont="1" applyFill="1" applyBorder="1" applyAlignment="1" applyProtection="1">
      <alignment horizontal="center" vertical="center"/>
      <protection hidden="1"/>
    </xf>
    <xf numFmtId="16" fontId="5" fillId="2" borderId="24" xfId="0" quotePrefix="1" applyNumberFormat="1" applyFont="1" applyFill="1" applyBorder="1" applyAlignment="1" applyProtection="1">
      <alignment horizontal="center" vertical="center"/>
      <protection hidden="1"/>
    </xf>
    <xf numFmtId="16" fontId="5" fillId="2" borderId="8" xfId="0" quotePrefix="1" applyNumberFormat="1" applyFont="1" applyFill="1" applyBorder="1" applyAlignment="1" applyProtection="1">
      <alignment horizontal="center" vertical="center"/>
      <protection hidden="1"/>
    </xf>
    <xf numFmtId="0" fontId="17" fillId="2" borderId="9" xfId="0" applyFont="1" applyFill="1" applyBorder="1" applyAlignment="1" applyProtection="1">
      <alignment horizontal="center" vertical="center"/>
      <protection hidden="1"/>
    </xf>
    <xf numFmtId="0" fontId="5" fillId="2" borderId="5"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wrapText="1"/>
      <protection hidden="1"/>
    </xf>
    <xf numFmtId="0" fontId="5" fillId="2" borderId="25" xfId="0" applyFont="1" applyFill="1" applyBorder="1" applyAlignment="1" applyProtection="1">
      <alignment horizontal="center" vertical="center" wrapText="1"/>
      <protection hidden="1"/>
    </xf>
    <xf numFmtId="0" fontId="5" fillId="2" borderId="10" xfId="0" applyFont="1" applyFill="1" applyBorder="1" applyAlignment="1" applyProtection="1">
      <alignment horizontal="center" vertical="center" wrapText="1"/>
      <protection hidden="1"/>
    </xf>
    <xf numFmtId="0" fontId="5" fillId="2" borderId="9" xfId="0" quotePrefix="1" applyFont="1" applyFill="1" applyBorder="1" applyAlignment="1" applyProtection="1">
      <alignment horizontal="center" vertical="center"/>
      <protection hidden="1"/>
    </xf>
    <xf numFmtId="0" fontId="17" fillId="2" borderId="21" xfId="0" applyFont="1" applyFill="1" applyBorder="1" applyAlignment="1" applyProtection="1">
      <alignment horizontal="center" vertical="center"/>
      <protection hidden="1"/>
    </xf>
    <xf numFmtId="0" fontId="17" fillId="0" borderId="49" xfId="0" applyFont="1" applyBorder="1" applyAlignment="1" applyProtection="1">
      <alignment horizontal="center" vertical="center"/>
      <protection hidden="1"/>
    </xf>
    <xf numFmtId="0" fontId="5" fillId="2" borderId="24" xfId="0" applyFont="1" applyFill="1" applyBorder="1" applyAlignment="1" applyProtection="1">
      <alignment horizontal="center" vertical="center"/>
      <protection hidden="1"/>
    </xf>
    <xf numFmtId="0" fontId="5" fillId="2" borderId="27" xfId="0" applyFont="1" applyFill="1" applyBorder="1" applyAlignment="1" applyProtection="1">
      <alignment horizontal="center" vertical="center"/>
      <protection hidden="1"/>
    </xf>
    <xf numFmtId="0" fontId="5" fillId="2" borderId="9" xfId="0" applyFont="1" applyFill="1" applyBorder="1" applyAlignment="1" applyProtection="1">
      <alignment horizontal="center" vertical="center"/>
      <protection hidden="1"/>
    </xf>
    <xf numFmtId="0" fontId="5" fillId="0" borderId="28" xfId="0" applyFont="1" applyBorder="1" applyAlignment="1" applyProtection="1">
      <alignment horizontal="center" vertical="center"/>
      <protection hidden="1"/>
    </xf>
    <xf numFmtId="0" fontId="13" fillId="2" borderId="25" xfId="0" applyFont="1" applyFill="1" applyBorder="1" applyAlignment="1" applyProtection="1">
      <alignment horizontal="center" vertical="center" wrapText="1"/>
      <protection hidden="1"/>
    </xf>
    <xf numFmtId="0" fontId="13" fillId="2" borderId="11" xfId="0" applyFont="1" applyFill="1" applyBorder="1" applyAlignment="1" applyProtection="1">
      <alignment horizontal="center" vertical="center" wrapText="1"/>
      <protection hidden="1"/>
    </xf>
    <xf numFmtId="0" fontId="9" fillId="0" borderId="0" xfId="0" applyFont="1" applyAlignment="1" applyProtection="1">
      <alignment horizontal="center" vertical="center"/>
      <protection hidden="1"/>
    </xf>
    <xf numFmtId="0" fontId="9" fillId="0" borderId="0" xfId="0" applyFont="1" applyAlignment="1" applyProtection="1">
      <alignment vertical="center"/>
      <protection hidden="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9" fillId="0" borderId="0" xfId="0" applyFont="1" applyAlignment="1">
      <alignment horizontal="right" vertical="center"/>
    </xf>
    <xf numFmtId="0" fontId="5" fillId="0" borderId="0" xfId="0" applyFont="1" applyAlignment="1">
      <alignment vertical="center"/>
    </xf>
    <xf numFmtId="0" fontId="9" fillId="0" borderId="0" xfId="0" applyFont="1" applyAlignment="1">
      <alignment vertical="center" wrapText="1"/>
    </xf>
    <xf numFmtId="0" fontId="5" fillId="0" borderId="46" xfId="0" applyFont="1" applyBorder="1" applyAlignment="1" applyProtection="1">
      <alignment horizontal="left" vertical="center" wrapText="1"/>
      <protection hidden="1"/>
    </xf>
    <xf numFmtId="0" fontId="5" fillId="0" borderId="41" xfId="0" applyFont="1" applyBorder="1" applyAlignment="1" applyProtection="1">
      <alignment vertical="center"/>
      <protection locked="0"/>
    </xf>
    <xf numFmtId="0" fontId="5" fillId="0" borderId="45" xfId="0" applyFont="1" applyBorder="1" applyAlignment="1" applyProtection="1">
      <alignment horizontal="left" vertical="center" wrapText="1"/>
      <protection hidden="1"/>
    </xf>
    <xf numFmtId="0" fontId="5" fillId="0" borderId="30" xfId="0" applyFont="1" applyBorder="1" applyAlignment="1" applyProtection="1">
      <alignment vertical="center"/>
      <protection locked="0"/>
    </xf>
    <xf numFmtId="0" fontId="5" fillId="0" borderId="20" xfId="0" applyFont="1" applyBorder="1" applyAlignment="1" applyProtection="1">
      <alignment horizontal="left" vertical="center" wrapText="1"/>
      <protection hidden="1"/>
    </xf>
    <xf numFmtId="0" fontId="5" fillId="0" borderId="31" xfId="0" applyFont="1" applyBorder="1" applyAlignment="1" applyProtection="1">
      <alignment vertical="center"/>
      <protection locked="0"/>
    </xf>
    <xf numFmtId="0" fontId="5" fillId="0" borderId="47" xfId="0" applyFont="1" applyBorder="1" applyAlignment="1" applyProtection="1">
      <alignment horizontal="left" vertical="center" wrapText="1"/>
      <protection hidden="1"/>
    </xf>
    <xf numFmtId="0" fontId="5" fillId="0" borderId="0" xfId="0" applyFont="1" applyAlignment="1" applyProtection="1">
      <alignment vertical="center" wrapText="1"/>
      <protection hidden="1"/>
    </xf>
    <xf numFmtId="0" fontId="5" fillId="0" borderId="48" xfId="0" applyFont="1" applyBorder="1" applyAlignment="1" applyProtection="1">
      <alignment horizontal="left" vertical="center" wrapText="1"/>
      <protection hidden="1"/>
    </xf>
    <xf numFmtId="0" fontId="17" fillId="0" borderId="12" xfId="0" applyFont="1" applyBorder="1" applyAlignment="1" applyProtection="1">
      <alignment vertical="center" wrapText="1"/>
      <protection hidden="1"/>
    </xf>
    <xf numFmtId="0" fontId="5" fillId="0" borderId="36" xfId="0" applyFont="1" applyBorder="1" applyAlignment="1" applyProtection="1">
      <alignment vertical="center"/>
      <protection locked="0"/>
    </xf>
    <xf numFmtId="0" fontId="17" fillId="0" borderId="13" xfId="0" applyFont="1" applyBorder="1" applyAlignment="1" applyProtection="1">
      <alignment horizontal="left" vertical="center" wrapText="1"/>
      <protection hidden="1"/>
    </xf>
    <xf numFmtId="0" fontId="5" fillId="0" borderId="51" xfId="0" applyFont="1" applyBorder="1" applyAlignment="1" applyProtection="1">
      <alignment vertical="center"/>
      <protection locked="0"/>
    </xf>
    <xf numFmtId="0" fontId="10" fillId="0" borderId="0" xfId="0" applyFont="1" applyAlignment="1">
      <alignment vertical="center" wrapText="1"/>
    </xf>
    <xf numFmtId="0" fontId="5" fillId="0" borderId="47" xfId="0" applyFont="1" applyBorder="1" applyAlignment="1" applyProtection="1">
      <alignment vertical="center" wrapText="1"/>
      <protection hidden="1"/>
    </xf>
    <xf numFmtId="0" fontId="5" fillId="0" borderId="29" xfId="0" applyFont="1" applyBorder="1" applyAlignment="1" applyProtection="1">
      <alignment vertical="center"/>
      <protection locked="0"/>
    </xf>
    <xf numFmtId="0" fontId="5" fillId="0" borderId="19" xfId="0" applyFont="1" applyBorder="1" applyAlignment="1" applyProtection="1">
      <alignment vertical="center" wrapText="1"/>
      <protection hidden="1"/>
    </xf>
    <xf numFmtId="0" fontId="13" fillId="0" borderId="48" xfId="0" applyFont="1" applyBorder="1" applyAlignment="1" applyProtection="1">
      <alignment horizontal="left" vertical="center" wrapText="1"/>
      <protection hidden="1"/>
    </xf>
    <xf numFmtId="0" fontId="5" fillId="0" borderId="0" xfId="0" applyFont="1" applyAlignment="1">
      <alignment horizontal="left" vertical="center"/>
    </xf>
    <xf numFmtId="0" fontId="15" fillId="0" borderId="0" xfId="0" applyFont="1" applyAlignment="1">
      <alignment vertical="center"/>
    </xf>
    <xf numFmtId="0" fontId="9" fillId="3" borderId="34"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0" borderId="53" xfId="0" applyFont="1" applyBorder="1" applyAlignment="1" applyProtection="1">
      <alignment horizontal="center" vertical="center"/>
      <protection hidden="1"/>
    </xf>
    <xf numFmtId="0" fontId="9" fillId="9" borderId="8" xfId="0" applyFont="1" applyFill="1" applyBorder="1" applyAlignment="1" applyProtection="1">
      <alignment horizontal="center" vertical="center"/>
      <protection hidden="1"/>
    </xf>
    <xf numFmtId="0" fontId="9" fillId="9" borderId="5" xfId="0" applyFont="1" applyFill="1" applyBorder="1" applyAlignment="1" applyProtection="1">
      <alignment horizontal="center" vertical="center"/>
      <protection hidden="1"/>
    </xf>
    <xf numFmtId="0" fontId="9" fillId="9" borderId="10" xfId="0" applyFont="1" applyFill="1" applyBorder="1" applyAlignment="1" applyProtection="1">
      <alignment horizontal="center" vertical="center"/>
      <protection hidden="1"/>
    </xf>
    <xf numFmtId="0" fontId="9" fillId="9" borderId="6" xfId="0" applyFont="1" applyFill="1" applyBorder="1" applyAlignment="1" applyProtection="1">
      <alignment horizontal="center" vertical="center"/>
      <protection hidden="1"/>
    </xf>
    <xf numFmtId="0" fontId="9" fillId="9" borderId="52" xfId="0" applyFont="1" applyFill="1" applyBorder="1" applyAlignment="1" applyProtection="1">
      <alignment horizontal="center" vertical="center"/>
      <protection hidden="1"/>
    </xf>
    <xf numFmtId="0" fontId="9" fillId="9" borderId="54" xfId="0" applyFont="1" applyFill="1" applyBorder="1" applyAlignment="1" applyProtection="1">
      <alignment horizontal="center" vertical="center"/>
      <protection hidden="1"/>
    </xf>
    <xf numFmtId="0" fontId="9" fillId="9" borderId="33" xfId="0" applyFont="1" applyFill="1" applyBorder="1" applyAlignment="1" applyProtection="1">
      <alignment horizontal="center" vertical="center"/>
      <protection hidden="1"/>
    </xf>
    <xf numFmtId="0" fontId="9" fillId="0" borderId="1" xfId="0" applyFont="1" applyBorder="1" applyAlignment="1">
      <alignment horizontal="left" vertical="center" wrapText="1"/>
    </xf>
    <xf numFmtId="0" fontId="9" fillId="0" borderId="5" xfId="0" applyFont="1" applyBorder="1" applyAlignment="1" applyProtection="1">
      <alignment horizontal="center" vertical="center"/>
      <protection hidden="1"/>
    </xf>
    <xf numFmtId="0" fontId="9" fillId="10" borderId="5" xfId="0" applyFont="1" applyFill="1" applyBorder="1" applyAlignment="1" applyProtection="1">
      <alignment horizontal="center" vertical="center"/>
      <protection hidden="1"/>
    </xf>
    <xf numFmtId="14" fontId="0" fillId="0" borderId="0" xfId="0" applyNumberFormat="1"/>
    <xf numFmtId="0" fontId="0" fillId="0" borderId="5" xfId="0" applyBorder="1" applyAlignment="1">
      <alignment horizontal="center"/>
    </xf>
    <xf numFmtId="0" fontId="0" fillId="0" borderId="5" xfId="0" applyBorder="1" applyAlignment="1">
      <alignment horizontal="center" vertical="center"/>
    </xf>
    <xf numFmtId="0" fontId="0" fillId="0" borderId="5" xfId="0" applyBorder="1"/>
    <xf numFmtId="0" fontId="0" fillId="0" borderId="28" xfId="0" applyBorder="1" applyAlignment="1">
      <alignment horizontal="center" vertical="center"/>
    </xf>
    <xf numFmtId="0" fontId="0" fillId="11" borderId="6" xfId="0" applyFill="1" applyBorder="1" applyAlignment="1">
      <alignment horizontal="center"/>
    </xf>
    <xf numFmtId="0" fontId="0" fillId="0" borderId="28" xfId="0" applyBorder="1" applyAlignment="1">
      <alignment horizontal="center"/>
    </xf>
    <xf numFmtId="0" fontId="0" fillId="11" borderId="6" xfId="0" applyFill="1" applyBorder="1" applyAlignment="1">
      <alignment horizontal="left" vertical="center"/>
    </xf>
    <xf numFmtId="14" fontId="0" fillId="0" borderId="5" xfId="0" applyNumberFormat="1" applyBorder="1" applyAlignment="1">
      <alignment horizontal="center" vertical="center"/>
    </xf>
    <xf numFmtId="0" fontId="0" fillId="0" borderId="6" xfId="0" applyBorder="1" applyAlignment="1">
      <alignment horizontal="center"/>
    </xf>
    <xf numFmtId="0" fontId="16" fillId="0" borderId="5" xfId="0" applyFont="1" applyBorder="1"/>
    <xf numFmtId="0" fontId="0" fillId="0" borderId="18" xfId="0" applyBorder="1" applyAlignment="1">
      <alignment horizontal="center" vertical="center"/>
    </xf>
    <xf numFmtId="49" fontId="0" fillId="0" borderId="5" xfId="0" applyNumberFormat="1" applyBorder="1" applyAlignment="1">
      <alignment horizontal="center" vertical="center"/>
    </xf>
    <xf numFmtId="0" fontId="0" fillId="0" borderId="6" xfId="0" applyBorder="1"/>
    <xf numFmtId="0" fontId="0" fillId="0" borderId="6" xfId="0" applyBorder="1" applyAlignment="1">
      <alignment horizontal="center" vertical="center"/>
    </xf>
    <xf numFmtId="49" fontId="0" fillId="0" borderId="5" xfId="0" applyNumberFormat="1" applyBorder="1"/>
    <xf numFmtId="49" fontId="0" fillId="0" borderId="28" xfId="0" applyNumberFormat="1" applyBorder="1" applyAlignment="1">
      <alignment horizontal="center" vertical="center"/>
    </xf>
    <xf numFmtId="0" fontId="16" fillId="0" borderId="5" xfId="0" applyFont="1" applyBorder="1" applyAlignment="1">
      <alignment horizontal="center" vertical="center"/>
    </xf>
    <xf numFmtId="14" fontId="16" fillId="0" borderId="5" xfId="0" applyNumberFormat="1" applyFont="1" applyBorder="1" applyAlignment="1">
      <alignment horizontal="center" vertical="center"/>
    </xf>
    <xf numFmtId="49" fontId="0" fillId="0" borderId="6" xfId="0" applyNumberFormat="1" applyBorder="1" applyAlignment="1">
      <alignment horizontal="center" vertical="center"/>
    </xf>
    <xf numFmtId="49" fontId="0" fillId="0" borderId="5" xfId="0" applyNumberFormat="1" applyBorder="1" applyAlignment="1">
      <alignment horizontal="center"/>
    </xf>
    <xf numFmtId="0" fontId="0" fillId="0" borderId="5" xfId="0" applyBorder="1" applyAlignment="1">
      <alignment wrapText="1"/>
    </xf>
    <xf numFmtId="0" fontId="0" fillId="0" borderId="5" xfId="0" applyBorder="1" applyAlignment="1">
      <alignment horizontal="left" vertical="center"/>
    </xf>
    <xf numFmtId="0" fontId="0" fillId="0" borderId="5" xfId="0" applyBorder="1" applyAlignment="1">
      <alignment vertical="center" wrapText="1"/>
    </xf>
    <xf numFmtId="14" fontId="0" fillId="0" borderId="18" xfId="0" applyNumberFormat="1" applyBorder="1" applyAlignment="1">
      <alignment horizontal="center" vertical="center"/>
    </xf>
    <xf numFmtId="0" fontId="0" fillId="0" borderId="5" xfId="0" applyBorder="1" applyAlignment="1">
      <alignment horizontal="left" vertical="top"/>
    </xf>
    <xf numFmtId="0" fontId="16" fillId="0" borderId="5" xfId="0" applyFont="1" applyBorder="1" applyAlignment="1">
      <alignment horizontal="center"/>
    </xf>
    <xf numFmtId="49" fontId="16" fillId="0" borderId="5" xfId="0" applyNumberFormat="1" applyFont="1" applyBorder="1" applyAlignment="1">
      <alignment horizontal="center" vertical="center"/>
    </xf>
    <xf numFmtId="0" fontId="0" fillId="0" borderId="5" xfId="0" applyBorder="1" applyAlignment="1">
      <alignment vertical="center"/>
    </xf>
    <xf numFmtId="0" fontId="0" fillId="0" borderId="33" xfId="0" applyBorder="1" applyAlignment="1">
      <alignment horizontal="center" vertical="center"/>
    </xf>
    <xf numFmtId="14" fontId="0" fillId="0" borderId="6" xfId="0" applyNumberFormat="1" applyBorder="1" applyAlignment="1">
      <alignment horizontal="center" vertical="center"/>
    </xf>
    <xf numFmtId="0" fontId="0" fillId="11" borderId="5" xfId="0" applyFill="1" applyBorder="1"/>
    <xf numFmtId="0" fontId="0" fillId="11" borderId="5" xfId="0" applyFill="1" applyBorder="1" applyAlignment="1">
      <alignment horizontal="center" vertical="center"/>
    </xf>
    <xf numFmtId="0" fontId="0" fillId="11" borderId="5" xfId="0" applyFill="1" applyBorder="1" applyAlignment="1">
      <alignment horizontal="center"/>
    </xf>
    <xf numFmtId="14" fontId="0" fillId="11" borderId="5" xfId="0" applyNumberFormat="1" applyFill="1" applyBorder="1" applyAlignment="1">
      <alignment horizontal="center" vertical="center"/>
    </xf>
    <xf numFmtId="0" fontId="0" fillId="11" borderId="5" xfId="0" applyFill="1" applyBorder="1" applyAlignment="1">
      <alignment vertical="center" wrapText="1"/>
    </xf>
    <xf numFmtId="0" fontId="16" fillId="11" borderId="5" xfId="0" applyFont="1" applyFill="1" applyBorder="1" applyAlignment="1">
      <alignment horizontal="center"/>
    </xf>
    <xf numFmtId="0" fontId="0" fillId="0" borderId="40" xfId="0" applyBorder="1" applyAlignment="1">
      <alignment horizontal="center" vertical="center"/>
    </xf>
    <xf numFmtId="0" fontId="0" fillId="0" borderId="26" xfId="0" applyBorder="1" applyAlignment="1">
      <alignment horizontal="center" vertical="center"/>
    </xf>
    <xf numFmtId="0" fontId="0" fillId="0" borderId="37" xfId="0" applyBorder="1" applyAlignment="1">
      <alignment horizontal="center" vertical="center"/>
    </xf>
    <xf numFmtId="0" fontId="0" fillId="11" borderId="40" xfId="0" applyFill="1" applyBorder="1" applyAlignment="1">
      <alignment horizontal="center" vertical="center"/>
    </xf>
    <xf numFmtId="0" fontId="0" fillId="11" borderId="28" xfId="0" applyFill="1" applyBorder="1" applyAlignment="1">
      <alignment horizontal="center" vertical="center"/>
    </xf>
    <xf numFmtId="0" fontId="16" fillId="0" borderId="28" xfId="0" applyFont="1" applyBorder="1" applyAlignment="1">
      <alignment horizontal="center" vertical="center"/>
    </xf>
    <xf numFmtId="0" fontId="0" fillId="11" borderId="5" xfId="0" applyFill="1" applyBorder="1" applyAlignment="1">
      <alignment horizontal="left" vertical="center"/>
    </xf>
    <xf numFmtId="14" fontId="16" fillId="11" borderId="5" xfId="0" applyNumberFormat="1" applyFont="1" applyFill="1" applyBorder="1" applyAlignment="1">
      <alignment horizontal="center" vertical="center"/>
    </xf>
    <xf numFmtId="0" fontId="0" fillId="11" borderId="6" xfId="0" applyFill="1" applyBorder="1" applyAlignment="1">
      <alignment horizontal="center" vertical="center"/>
    </xf>
    <xf numFmtId="0" fontId="16" fillId="0" borderId="6" xfId="0" applyFont="1" applyBorder="1" applyAlignment="1">
      <alignment horizontal="center"/>
    </xf>
    <xf numFmtId="0" fontId="10" fillId="0" borderId="1" xfId="0" applyFont="1" applyBorder="1" applyAlignment="1" applyProtection="1">
      <alignment horizontal="center" vertical="center"/>
      <protection hidden="1"/>
    </xf>
    <xf numFmtId="0" fontId="11" fillId="6" borderId="1" xfId="0" applyFont="1" applyFill="1" applyBorder="1" applyAlignment="1" applyProtection="1">
      <alignment horizontal="center" vertical="center"/>
      <protection hidden="1"/>
    </xf>
    <xf numFmtId="0" fontId="11" fillId="5" borderId="1" xfId="0" applyFont="1" applyFill="1" applyBorder="1" applyAlignment="1" applyProtection="1">
      <alignment horizontal="center" vertical="center"/>
      <protection hidden="1"/>
    </xf>
    <xf numFmtId="0" fontId="11" fillId="7" borderId="1" xfId="0" applyFont="1" applyFill="1" applyBorder="1" applyAlignment="1" applyProtection="1">
      <alignment horizontal="center" vertical="center"/>
      <protection hidden="1"/>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center" vertical="center" wrapText="1"/>
      <protection hidden="1"/>
    </xf>
    <xf numFmtId="0" fontId="5" fillId="0" borderId="15" xfId="0" applyFont="1" applyBorder="1" applyAlignment="1" applyProtection="1">
      <alignment vertical="center" wrapText="1"/>
      <protection hidden="1"/>
    </xf>
    <xf numFmtId="0" fontId="9" fillId="9" borderId="38" xfId="0" applyFont="1" applyFill="1" applyBorder="1" applyAlignment="1" applyProtection="1">
      <alignment horizontal="center" vertical="center"/>
      <protection hidden="1"/>
    </xf>
    <xf numFmtId="0" fontId="5" fillId="12" borderId="16" xfId="0" applyFont="1" applyFill="1" applyBorder="1" applyAlignment="1" applyProtection="1">
      <alignment vertical="center"/>
      <protection hidden="1"/>
    </xf>
    <xf numFmtId="0" fontId="5" fillId="12" borderId="38" xfId="0" applyFont="1" applyFill="1" applyBorder="1" applyAlignment="1" applyProtection="1">
      <alignment horizontal="center" vertical="center"/>
      <protection hidden="1"/>
    </xf>
    <xf numFmtId="0" fontId="0" fillId="0" borderId="0" xfId="0" applyProtection="1">
      <protection hidden="1"/>
    </xf>
    <xf numFmtId="0" fontId="3" fillId="0" borderId="43" xfId="0" applyFont="1" applyBorder="1" applyAlignment="1" applyProtection="1">
      <alignment horizontal="center" vertical="center"/>
      <protection hidden="1"/>
    </xf>
    <xf numFmtId="0" fontId="3" fillId="0" borderId="44" xfId="0" applyFont="1" applyBorder="1" applyAlignment="1" applyProtection="1">
      <alignment horizontal="center" wrapText="1"/>
      <protection hidden="1"/>
    </xf>
    <xf numFmtId="0" fontId="3" fillId="0" borderId="9" xfId="0" applyFont="1" applyBorder="1" applyAlignment="1" applyProtection="1">
      <alignment horizontal="center" vertical="top"/>
      <protection hidden="1"/>
    </xf>
    <xf numFmtId="0" fontId="2" fillId="0" borderId="30" xfId="0" applyFont="1" applyBorder="1" applyAlignment="1" applyProtection="1">
      <alignment vertical="top" wrapText="1"/>
      <protection hidden="1"/>
    </xf>
    <xf numFmtId="0" fontId="2" fillId="0" borderId="30" xfId="0" applyFont="1" applyBorder="1" applyAlignment="1" applyProtection="1">
      <alignment horizontal="left" vertical="top" wrapText="1"/>
      <protection hidden="1"/>
    </xf>
    <xf numFmtId="0" fontId="3" fillId="0" borderId="25" xfId="0" applyFont="1" applyBorder="1" applyAlignment="1" applyProtection="1">
      <alignment horizontal="center" vertical="top"/>
      <protection hidden="1"/>
    </xf>
    <xf numFmtId="0" fontId="2" fillId="0" borderId="31" xfId="0" applyFont="1" applyBorder="1" applyAlignment="1" applyProtection="1">
      <alignment horizontal="left" vertical="top" wrapText="1"/>
      <protection hidden="1"/>
    </xf>
    <xf numFmtId="0" fontId="6" fillId="0" borderId="0" xfId="0" applyFont="1" applyAlignment="1" applyProtection="1">
      <alignment horizontal="center"/>
      <protection hidden="1"/>
    </xf>
    <xf numFmtId="0" fontId="3" fillId="0" borderId="0" xfId="0" applyFont="1" applyAlignment="1" applyProtection="1">
      <alignment horizontal="center" vertical="top"/>
      <protection hidden="1"/>
    </xf>
    <xf numFmtId="0" fontId="0" fillId="0" borderId="0" xfId="0" applyAlignment="1" applyProtection="1">
      <alignment wrapText="1"/>
      <protection hidden="1"/>
    </xf>
    <xf numFmtId="0" fontId="7" fillId="0" borderId="0" xfId="0" applyFont="1" applyAlignment="1" applyProtection="1">
      <alignment wrapText="1"/>
      <protection hidden="1"/>
    </xf>
    <xf numFmtId="0" fontId="6" fillId="0" borderId="0" xfId="0" applyFont="1" applyAlignment="1" applyProtection="1">
      <alignment horizontal="center" vertical="center"/>
      <protection hidden="1"/>
    </xf>
    <xf numFmtId="0" fontId="6" fillId="0" borderId="0" xfId="0" applyFont="1" applyAlignment="1" applyProtection="1">
      <alignment vertical="center"/>
      <protection hidden="1"/>
    </xf>
    <xf numFmtId="0" fontId="7" fillId="0" borderId="0" xfId="0" applyFont="1" applyProtection="1">
      <protection hidden="1"/>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xf>
    <xf numFmtId="0" fontId="6" fillId="13" borderId="0" xfId="0" applyFont="1" applyFill="1" applyAlignment="1">
      <alignment horizontal="center" vertical="center"/>
    </xf>
    <xf numFmtId="9" fontId="6" fillId="0" borderId="0" xfId="0" applyNumberFormat="1" applyFont="1" applyAlignment="1">
      <alignment horizontal="center" vertical="center"/>
    </xf>
    <xf numFmtId="1" fontId="6" fillId="0" borderId="0" xfId="0" applyNumberFormat="1" applyFont="1" applyAlignment="1">
      <alignment horizontal="center" vertical="center"/>
    </xf>
    <xf numFmtId="0" fontId="0" fillId="0" borderId="5" xfId="0" applyBorder="1" applyAlignment="1">
      <alignment horizontal="center" vertical="center" wrapText="1"/>
    </xf>
    <xf numFmtId="166" fontId="0" fillId="0" borderId="5" xfId="0" applyNumberFormat="1" applyBorder="1" applyAlignment="1">
      <alignment horizontal="center" vertical="center"/>
    </xf>
    <xf numFmtId="0" fontId="0" fillId="0" borderId="5" xfId="0" applyBorder="1" applyAlignment="1">
      <alignment horizontal="left" vertical="center" wrapText="1"/>
    </xf>
    <xf numFmtId="0" fontId="5" fillId="0" borderId="1" xfId="0" applyFont="1" applyBorder="1" applyAlignment="1">
      <alignment horizontal="center" vertical="center"/>
    </xf>
    <xf numFmtId="0" fontId="4" fillId="0" borderId="58"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5"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9" fillId="14" borderId="2" xfId="0" applyFont="1" applyFill="1" applyBorder="1" applyAlignment="1">
      <alignment horizontal="left" vertical="center" wrapText="1"/>
    </xf>
    <xf numFmtId="0" fontId="9" fillId="14" borderId="3" xfId="0" applyFont="1" applyFill="1" applyBorder="1" applyAlignment="1">
      <alignment horizontal="left" vertical="center"/>
    </xf>
    <xf numFmtId="0" fontId="5" fillId="0" borderId="0" xfId="0" applyFont="1" applyAlignment="1">
      <alignment horizontal="center" vertical="center"/>
    </xf>
    <xf numFmtId="0" fontId="9" fillId="0" borderId="1" xfId="0" applyFont="1" applyBorder="1" applyAlignment="1">
      <alignment horizontal="left" vertical="center" wrapText="1"/>
    </xf>
    <xf numFmtId="0" fontId="5" fillId="9" borderId="1" xfId="0" applyFont="1" applyFill="1" applyBorder="1" applyAlignment="1" applyProtection="1">
      <alignment horizontal="left" vertical="center" wrapText="1"/>
      <protection locked="0"/>
    </xf>
    <xf numFmtId="0" fontId="9" fillId="0" borderId="2" xfId="0" applyFont="1" applyBorder="1" applyAlignment="1">
      <alignment horizontal="left" vertical="center" wrapText="1"/>
    </xf>
    <xf numFmtId="0" fontId="9" fillId="0" borderId="3" xfId="0" applyFont="1" applyBorder="1" applyAlignment="1">
      <alignment horizontal="left" vertical="center"/>
    </xf>
    <xf numFmtId="0" fontId="21" fillId="8" borderId="12" xfId="0" applyFont="1" applyFill="1" applyBorder="1" applyAlignment="1" applyProtection="1">
      <alignment horizontal="center" vertical="center"/>
      <protection locked="0"/>
    </xf>
    <xf numFmtId="0" fontId="21" fillId="8" borderId="13" xfId="0" applyFont="1" applyFill="1" applyBorder="1" applyAlignment="1" applyProtection="1">
      <alignment horizontal="center" vertical="center"/>
      <protection locked="0"/>
    </xf>
    <xf numFmtId="0" fontId="9" fillId="0" borderId="24" xfId="0" applyFont="1" applyBorder="1" applyAlignment="1" applyProtection="1">
      <alignment horizontal="left" vertical="center" wrapText="1"/>
      <protection hidden="1"/>
    </xf>
    <xf numFmtId="0" fontId="9" fillId="0" borderId="8" xfId="0" applyFont="1" applyBorder="1" applyAlignment="1" applyProtection="1">
      <alignment horizontal="left" vertical="center" wrapText="1"/>
      <protection hidden="1"/>
    </xf>
    <xf numFmtId="0" fontId="9" fillId="0" borderId="25" xfId="0" applyFont="1" applyBorder="1" applyAlignment="1" applyProtection="1">
      <alignment horizontal="left" vertical="center" wrapText="1"/>
      <protection hidden="1"/>
    </xf>
    <xf numFmtId="0" fontId="9" fillId="0" borderId="10" xfId="0" applyFont="1" applyBorder="1" applyAlignment="1" applyProtection="1">
      <alignment horizontal="left" vertical="center" wrapText="1"/>
      <protection hidden="1"/>
    </xf>
    <xf numFmtId="0" fontId="9" fillId="9" borderId="8" xfId="0" applyFont="1" applyFill="1" applyBorder="1" applyAlignment="1" applyProtection="1">
      <alignment horizontal="center" vertical="center" wrapText="1"/>
      <protection hidden="1"/>
    </xf>
    <xf numFmtId="0" fontId="9" fillId="9" borderId="41" xfId="0" applyFont="1" applyFill="1" applyBorder="1" applyAlignment="1" applyProtection="1">
      <alignment horizontal="center" vertical="center" wrapText="1"/>
      <protection hidden="1"/>
    </xf>
    <xf numFmtId="0" fontId="9" fillId="9" borderId="10" xfId="0" applyFont="1" applyFill="1" applyBorder="1" applyAlignment="1" applyProtection="1">
      <alignment horizontal="center" vertical="center" wrapText="1"/>
      <protection hidden="1"/>
    </xf>
    <xf numFmtId="0" fontId="9" fillId="9" borderId="31" xfId="0" applyFont="1" applyFill="1" applyBorder="1" applyAlignment="1" applyProtection="1">
      <alignment horizontal="center" vertical="center" wrapText="1"/>
      <protection hidden="1"/>
    </xf>
    <xf numFmtId="0" fontId="9" fillId="0" borderId="57" xfId="0" applyFont="1" applyBorder="1" applyAlignment="1">
      <alignment horizontal="right" vertical="center"/>
    </xf>
    <xf numFmtId="0" fontId="9" fillId="0" borderId="17" xfId="0" applyFont="1" applyBorder="1" applyAlignment="1" applyProtection="1">
      <alignment horizontal="center" vertical="center" wrapText="1"/>
      <protection hidden="1"/>
    </xf>
    <xf numFmtId="0" fontId="9" fillId="0" borderId="19" xfId="0" applyFont="1" applyBorder="1" applyAlignment="1" applyProtection="1">
      <alignment horizontal="center" vertical="center" wrapText="1"/>
      <protection hidden="1"/>
    </xf>
    <xf numFmtId="0" fontId="9" fillId="0" borderId="14" xfId="0" applyFont="1" applyBorder="1" applyAlignment="1" applyProtection="1">
      <alignment horizontal="center" vertical="center"/>
      <protection hidden="1"/>
    </xf>
    <xf numFmtId="0" fontId="5" fillId="0" borderId="23" xfId="0" applyFont="1" applyBorder="1" applyAlignment="1" applyProtection="1">
      <alignment horizontal="center" vertical="center"/>
      <protection hidden="1"/>
    </xf>
    <xf numFmtId="0" fontId="9" fillId="0" borderId="2" xfId="0" applyFont="1" applyBorder="1" applyAlignment="1" applyProtection="1">
      <alignment horizontal="center" vertical="center"/>
      <protection hidden="1"/>
    </xf>
    <xf numFmtId="0" fontId="9" fillId="0" borderId="3" xfId="0" applyFont="1" applyBorder="1" applyAlignment="1" applyProtection="1">
      <alignment horizontal="center" vertical="center"/>
      <protection hidden="1"/>
    </xf>
    <xf numFmtId="0" fontId="12" fillId="3" borderId="4" xfId="0" applyFont="1" applyFill="1" applyBorder="1" applyAlignment="1" applyProtection="1">
      <alignment horizontal="center" vertical="center"/>
      <protection hidden="1"/>
    </xf>
    <xf numFmtId="0" fontId="9" fillId="0" borderId="20" xfId="0" applyFont="1" applyBorder="1" applyAlignment="1" applyProtection="1">
      <alignment horizontal="center" vertical="center" wrapText="1"/>
      <protection hidden="1"/>
    </xf>
    <xf numFmtId="0" fontId="9" fillId="0" borderId="2"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wrapText="1"/>
      <protection hidden="1"/>
    </xf>
    <xf numFmtId="0" fontId="5" fillId="0" borderId="3" xfId="0" applyFont="1" applyBorder="1" applyAlignment="1" applyProtection="1">
      <alignment horizontal="center" vertical="center" wrapText="1"/>
      <protection hidden="1"/>
    </xf>
    <xf numFmtId="0" fontId="10" fillId="0" borderId="19" xfId="0" applyFont="1" applyBorder="1" applyAlignment="1">
      <alignment horizontal="center" vertical="center"/>
    </xf>
    <xf numFmtId="0" fontId="0" fillId="0" borderId="0" xfId="0" applyAlignment="1">
      <alignment horizontal="center" vertical="center"/>
    </xf>
    <xf numFmtId="0" fontId="9" fillId="0" borderId="7" xfId="0" applyFont="1" applyBorder="1" applyAlignment="1" applyProtection="1">
      <alignment horizontal="center" vertical="center"/>
      <protection hidden="1"/>
    </xf>
    <xf numFmtId="0" fontId="9" fillId="0" borderId="52" xfId="0" applyFont="1" applyBorder="1" applyAlignment="1" applyProtection="1">
      <alignment horizontal="center" vertical="center" wrapText="1"/>
      <protection hidden="1"/>
    </xf>
    <xf numFmtId="0" fontId="9" fillId="0" borderId="22" xfId="0" applyFont="1" applyBorder="1" applyAlignment="1" applyProtection="1">
      <alignment horizontal="center" vertical="center" wrapText="1"/>
      <protection hidden="1"/>
    </xf>
    <xf numFmtId="0" fontId="12" fillId="5" borderId="52" xfId="0" applyFont="1" applyFill="1" applyBorder="1" applyAlignment="1" applyProtection="1">
      <alignment horizontal="center" vertical="center" wrapText="1"/>
      <protection hidden="1"/>
    </xf>
    <xf numFmtId="0" fontId="12" fillId="5" borderId="22" xfId="0" applyFont="1" applyFill="1" applyBorder="1" applyAlignment="1" applyProtection="1">
      <alignment horizontal="center" vertical="center"/>
      <protection hidden="1"/>
    </xf>
    <xf numFmtId="165" fontId="12" fillId="9" borderId="5" xfId="0" applyNumberFormat="1" applyFont="1" applyFill="1" applyBorder="1" applyAlignment="1" applyProtection="1">
      <alignment horizontal="center" vertical="center"/>
      <protection hidden="1"/>
    </xf>
    <xf numFmtId="165" fontId="5" fillId="9" borderId="5" xfId="0" applyNumberFormat="1" applyFont="1" applyFill="1" applyBorder="1" applyAlignment="1" applyProtection="1">
      <alignment horizontal="center" vertical="center"/>
      <protection hidden="1"/>
    </xf>
    <xf numFmtId="164" fontId="12" fillId="9" borderId="5" xfId="0" applyNumberFormat="1" applyFont="1" applyFill="1" applyBorder="1" applyAlignment="1" applyProtection="1">
      <alignment horizontal="center" vertical="center"/>
      <protection hidden="1"/>
    </xf>
    <xf numFmtId="164" fontId="5" fillId="9" borderId="5" xfId="0" applyNumberFormat="1" applyFont="1" applyFill="1" applyBorder="1" applyAlignment="1" applyProtection="1">
      <alignment horizontal="center" vertical="center"/>
      <protection hidden="1"/>
    </xf>
    <xf numFmtId="0" fontId="9" fillId="0" borderId="15" xfId="0" applyFont="1" applyBorder="1" applyAlignment="1" applyProtection="1">
      <alignment horizontal="center" vertical="center" wrapText="1"/>
      <protection hidden="1"/>
    </xf>
    <xf numFmtId="0" fontId="9" fillId="0" borderId="35" xfId="0" applyFont="1" applyBorder="1" applyAlignment="1" applyProtection="1">
      <alignment horizontal="center" vertical="center" wrapText="1"/>
      <protection hidden="1"/>
    </xf>
    <xf numFmtId="0" fontId="12" fillId="4" borderId="8" xfId="0" applyFont="1" applyFill="1" applyBorder="1" applyAlignment="1" applyProtection="1">
      <alignment horizontal="center" vertical="center" wrapText="1"/>
      <protection hidden="1"/>
    </xf>
    <xf numFmtId="0" fontId="12" fillId="4" borderId="10" xfId="0" applyFont="1" applyFill="1" applyBorder="1" applyAlignment="1" applyProtection="1">
      <alignment horizontal="center" vertical="center"/>
      <protection hidden="1"/>
    </xf>
    <xf numFmtId="0" fontId="21" fillId="9" borderId="12" xfId="0" applyFont="1" applyFill="1" applyBorder="1" applyAlignment="1" applyProtection="1">
      <alignment horizontal="center" vertical="center"/>
      <protection hidden="1"/>
    </xf>
    <xf numFmtId="0" fontId="21" fillId="9" borderId="13" xfId="0" applyFont="1" applyFill="1" applyBorder="1" applyAlignment="1" applyProtection="1">
      <alignment horizontal="center" vertical="center"/>
      <protection hidden="1"/>
    </xf>
    <xf numFmtId="0" fontId="12" fillId="9" borderId="5" xfId="0" applyFont="1" applyFill="1" applyBorder="1" applyAlignment="1" applyProtection="1">
      <alignment horizontal="center" vertical="center"/>
      <protection hidden="1"/>
    </xf>
    <xf numFmtId="0" fontId="5" fillId="9" borderId="5" xfId="0" applyFont="1" applyFill="1" applyBorder="1" applyAlignment="1" applyProtection="1">
      <alignment horizontal="center" vertical="center"/>
      <protection hidden="1"/>
    </xf>
    <xf numFmtId="0" fontId="9" fillId="9" borderId="5" xfId="0" applyFont="1" applyFill="1" applyBorder="1" applyAlignment="1" applyProtection="1">
      <alignment horizontal="center" vertical="center" wrapText="1"/>
      <protection hidden="1"/>
    </xf>
    <xf numFmtId="0" fontId="12" fillId="4" borderId="42" xfId="0" applyFont="1" applyFill="1" applyBorder="1" applyAlignment="1" applyProtection="1">
      <alignment horizontal="center" vertical="center" wrapText="1"/>
      <protection locked="0"/>
    </xf>
    <xf numFmtId="0" fontId="12" fillId="4" borderId="56" xfId="0" applyFont="1" applyFill="1" applyBorder="1" applyAlignment="1" applyProtection="1">
      <alignment horizontal="center" vertical="center" wrapText="1"/>
      <protection locked="0"/>
    </xf>
    <xf numFmtId="0" fontId="12" fillId="4" borderId="26" xfId="0" applyFont="1" applyFill="1" applyBorder="1" applyAlignment="1" applyProtection="1">
      <alignment horizontal="center" vertical="center" wrapText="1"/>
      <protection locked="0"/>
    </xf>
    <xf numFmtId="0" fontId="12" fillId="4" borderId="55" xfId="0" applyFont="1" applyFill="1" applyBorder="1" applyAlignment="1" applyProtection="1">
      <alignment horizontal="center" vertical="center" wrapText="1"/>
      <protection locked="0"/>
    </xf>
    <xf numFmtId="0" fontId="8" fillId="0" borderId="0" xfId="0" applyFont="1" applyAlignment="1" applyProtection="1">
      <alignment horizontal="center" vertical="center"/>
      <protection hidden="1"/>
    </xf>
    <xf numFmtId="0" fontId="0" fillId="0" borderId="0" xfId="0" applyAlignment="1" applyProtection="1">
      <alignment horizontal="center"/>
      <protection hidden="1"/>
    </xf>
    <xf numFmtId="0" fontId="6" fillId="0" borderId="0" xfId="0" applyFont="1" applyAlignment="1" applyProtection="1">
      <alignment horizontal="center" vertical="center"/>
      <protection hidden="1"/>
    </xf>
    <xf numFmtId="0" fontId="4" fillId="0" borderId="28" xfId="0" applyFont="1" applyBorder="1" applyAlignment="1">
      <alignment horizontal="center" vertical="center"/>
    </xf>
    <xf numFmtId="0" fontId="4" fillId="0" borderId="40" xfId="0" applyFont="1" applyBorder="1" applyAlignment="1">
      <alignment horizontal="center" vertical="center"/>
    </xf>
    <xf numFmtId="0" fontId="4" fillId="0" borderId="18" xfId="0" applyFont="1" applyBorder="1" applyAlignment="1">
      <alignment horizontal="center" vertical="center"/>
    </xf>
    <xf numFmtId="0" fontId="0" fillId="0" borderId="0" xfId="0" applyAlignment="1">
      <alignment horizontal="lef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14" fillId="0" borderId="0" xfId="1" applyAlignment="1">
      <alignment horizontal="left" vertical="center"/>
    </xf>
  </cellXfs>
  <cellStyles count="5">
    <cellStyle name="Hyperlink" xfId="1" builtinId="8"/>
    <cellStyle name="Hyperlink 2" xfId="3" xr:uid="{F92ACEF7-3940-4EBD-ADC2-6DE07A25765C}"/>
    <cellStyle name="Normal" xfId="0" builtinId="0"/>
    <cellStyle name="Normal 2" xfId="2" xr:uid="{DDC0A8DF-9115-45CF-8FBC-530527341E92}"/>
    <cellStyle name="Normal 2 2" xfId="4" xr:uid="{6D1B9ADF-DC77-4F3E-8BD2-0D5636B72DD8}"/>
  </cellStyles>
  <dxfs count="6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font>
    </dxf>
    <dxf>
      <font>
        <strike val="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font>
      <fill>
        <patternFill patternType="none">
          <bgColor auto="1"/>
        </patternFill>
      </fill>
    </dxf>
    <dxf>
      <font>
        <strike val="0"/>
      </font>
      <fill>
        <patternFill patternType="none">
          <bgColor auto="1"/>
        </patternFill>
      </fill>
    </dxf>
    <dxf>
      <font>
        <b/>
        <i val="0"/>
        <strike val="0"/>
      </font>
      <fill>
        <patternFill>
          <bgColor rgb="FFFFFF00"/>
        </patternFill>
      </fill>
    </dxf>
    <dxf>
      <font>
        <strike val="0"/>
      </font>
      <fill>
        <patternFill patternType="none">
          <bgColor auto="1"/>
        </patternFill>
      </fill>
    </dxf>
    <dxf>
      <font>
        <b/>
        <i val="0"/>
        <strike val="0"/>
      </font>
      <fill>
        <patternFill>
          <bgColor rgb="FFFFFF00"/>
        </patternFill>
      </fill>
    </dxf>
    <dxf>
      <fill>
        <patternFill>
          <bgColor rgb="FFD60093"/>
        </patternFill>
      </fill>
    </dxf>
    <dxf>
      <fill>
        <patternFill>
          <bgColor rgb="FF00B0F0"/>
        </patternFill>
      </fill>
    </dxf>
    <dxf>
      <fill>
        <patternFill>
          <bgColor rgb="FF00B0F0"/>
        </patternFill>
      </fill>
    </dxf>
    <dxf>
      <fill>
        <patternFill>
          <bgColor theme="0" tint="-0.34998626667073579"/>
        </patternFill>
      </fill>
    </dxf>
    <dxf>
      <fill>
        <patternFill>
          <bgColor rgb="FFA6A6A6"/>
        </patternFill>
      </fill>
    </dxf>
    <dxf>
      <fill>
        <patternFill>
          <bgColor rgb="FFD60093"/>
        </patternFill>
      </fill>
    </dxf>
    <dxf>
      <font>
        <strike val="0"/>
      </font>
      <fill>
        <patternFill>
          <bgColor rgb="FFFCD5B4"/>
        </patternFill>
      </fill>
    </dxf>
    <dxf>
      <font>
        <strike val="0"/>
        <color theme="0"/>
      </font>
      <fill>
        <patternFill>
          <bgColor rgb="FFD60093"/>
        </patternFill>
      </fill>
    </dxf>
    <dxf>
      <font>
        <strike val="0"/>
        <color theme="0"/>
      </font>
      <fill>
        <patternFill>
          <bgColor rgb="FFD60093"/>
        </patternFill>
      </fill>
    </dxf>
    <dxf>
      <font>
        <strike val="0"/>
        <color theme="0"/>
      </font>
      <fill>
        <patternFill>
          <bgColor rgb="FF00B0F0"/>
        </patternFill>
      </fill>
    </dxf>
    <dxf>
      <font>
        <strike val="0"/>
        <color theme="0"/>
      </font>
      <fill>
        <patternFill>
          <bgColor rgb="FF00B0F0"/>
        </patternFill>
      </fill>
    </dxf>
    <dxf>
      <font>
        <strike val="0"/>
        <color theme="0"/>
      </font>
      <fill>
        <patternFill>
          <bgColor theme="0" tint="-0.34998626667073579"/>
        </patternFill>
      </fill>
    </dxf>
    <dxf>
      <font>
        <strike val="0"/>
        <color theme="0"/>
      </font>
      <fill>
        <patternFill>
          <bgColor rgb="FFA6A6A6"/>
        </patternFill>
      </fill>
    </dxf>
    <dxf>
      <font>
        <strike val="0"/>
        <color theme="0"/>
      </font>
      <fill>
        <patternFill>
          <bgColor rgb="FFA6A6A6"/>
        </patternFill>
      </fill>
    </dxf>
    <dxf>
      <font>
        <strike val="0"/>
        <color theme="0"/>
      </font>
      <fill>
        <patternFill>
          <bgColor rgb="FF00B0F0"/>
        </patternFill>
      </fill>
    </dxf>
    <dxf>
      <font>
        <strike val="0"/>
        <color theme="0"/>
      </font>
      <fill>
        <patternFill>
          <bgColor rgb="FF00B0F0"/>
        </patternFill>
      </fill>
    </dxf>
    <dxf>
      <font>
        <strike val="0"/>
        <color theme="0"/>
      </font>
      <fill>
        <patternFill>
          <bgColor rgb="FFD60093"/>
        </patternFill>
      </fill>
    </dxf>
    <dxf>
      <font>
        <strike val="0"/>
        <color theme="0"/>
      </font>
      <fill>
        <patternFill>
          <bgColor rgb="FFD60093"/>
        </patternFill>
      </fill>
    </dxf>
    <dxf>
      <font>
        <strike val="0"/>
        <color theme="0"/>
      </font>
      <fill>
        <patternFill>
          <bgColor theme="0" tint="-0.34998626667073579"/>
        </patternFill>
      </fill>
    </dxf>
  </dxfs>
  <tableStyles count="0" defaultTableStyle="TableStyleMedium2" defaultPivotStyle="PivotStyleLight16"/>
  <colors>
    <mruColors>
      <color rgb="FFA6A6A6"/>
      <color rgb="FFFCD5B4"/>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BA214"/>
  <sheetViews>
    <sheetView showGridLines="0" tabSelected="1" topLeftCell="A6" zoomScale="110" zoomScaleNormal="110" workbookViewId="0">
      <selection activeCell="M16" sqref="M16"/>
    </sheetView>
  </sheetViews>
  <sheetFormatPr baseColWidth="10" defaultColWidth="20.33203125" defaultRowHeight="12" x14ac:dyDescent="0.2"/>
  <cols>
    <col min="1" max="1" width="5.6640625" style="48" customWidth="1"/>
    <col min="2" max="2" width="20.6640625" style="48" customWidth="1"/>
    <col min="3" max="3" width="28.6640625" style="48" customWidth="1"/>
    <col min="4" max="5" width="20.6640625" style="48" customWidth="1"/>
    <col min="6" max="9" width="15.6640625" style="48" customWidth="1"/>
    <col min="10" max="10" width="10.6640625" style="48" customWidth="1"/>
    <col min="11" max="15" width="12.6640625" style="48" customWidth="1"/>
    <col min="16" max="16384" width="20.33203125" style="48"/>
  </cols>
  <sheetData>
    <row r="2" spans="2:53" ht="15" customHeight="1" x14ac:dyDescent="0.2">
      <c r="B2" s="188" t="s">
        <v>47</v>
      </c>
      <c r="C2" s="220"/>
      <c r="D2" s="221"/>
      <c r="G2" s="47" t="s">
        <v>384</v>
      </c>
      <c r="H2" s="207" t="str">
        <f>IF(C2&lt;&gt;"",VLOOKUP(C2,AMO!B2:F203,4,FALSE),"")</f>
        <v/>
      </c>
      <c r="I2" s="208"/>
      <c r="L2" s="81" t="s">
        <v>301</v>
      </c>
      <c r="M2" s="82">
        <v>5</v>
      </c>
    </row>
    <row r="3" spans="2:53" ht="15" customHeight="1" x14ac:dyDescent="0.2">
      <c r="B3" s="188"/>
      <c r="C3" s="222"/>
      <c r="D3" s="223"/>
      <c r="G3" s="47" t="s">
        <v>46</v>
      </c>
      <c r="H3" s="217" t="str">
        <f>IF(C2&lt;&gt;"",VLOOKUP(C2,AMO!B2:F203,5,FALSE),"")</f>
        <v/>
      </c>
      <c r="I3" s="218"/>
      <c r="J3" s="49"/>
    </row>
    <row r="4" spans="2:53" ht="15" customHeight="1" x14ac:dyDescent="0.2">
      <c r="B4" s="47" t="s">
        <v>48</v>
      </c>
      <c r="C4" s="209" t="str">
        <f>IF(C2&lt;&gt;"",RIGHT(VLOOKUP(C2,AMO!B2:F203,2,FALSE),3),"")</f>
        <v/>
      </c>
      <c r="D4" s="210"/>
      <c r="G4" s="47" t="s">
        <v>319</v>
      </c>
      <c r="H4" s="219" t="str">
        <f>IF(C2&lt;&gt;"",VLOOKUP(C2,AMO!B2:F203,3,FALSE),"")</f>
        <v/>
      </c>
      <c r="I4" s="219"/>
    </row>
    <row r="5" spans="2:53" ht="13" thickBot="1" x14ac:dyDescent="0.25"/>
    <row r="6" spans="2:53" ht="40" customHeight="1" thickBot="1" x14ac:dyDescent="0.25">
      <c r="B6" s="193" t="s">
        <v>3</v>
      </c>
      <c r="C6" s="193" t="s">
        <v>271</v>
      </c>
      <c r="D6" s="195" t="s">
        <v>270</v>
      </c>
      <c r="E6" s="195"/>
      <c r="F6" s="213" t="s">
        <v>296</v>
      </c>
      <c r="G6" s="205" t="s">
        <v>297</v>
      </c>
      <c r="H6" s="203" t="s">
        <v>383</v>
      </c>
      <c r="I6" s="211" t="s">
        <v>2</v>
      </c>
      <c r="J6" s="1"/>
      <c r="K6" s="130" t="str">
        <f>Sheet1!C2&amp;" - "&amp;Sheet1!D2</f>
        <v>226 - 300</v>
      </c>
      <c r="L6" s="131" t="s">
        <v>28</v>
      </c>
      <c r="M6" s="131" t="s">
        <v>28</v>
      </c>
      <c r="N6" s="131" t="s">
        <v>27</v>
      </c>
      <c r="O6" s="131" t="s">
        <v>27</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ht="40" customHeight="1" thickBot="1" x14ac:dyDescent="0.25">
      <c r="B7" s="194"/>
      <c r="C7" s="202"/>
      <c r="D7" s="71" t="s">
        <v>385</v>
      </c>
      <c r="E7" s="70" t="s">
        <v>290</v>
      </c>
      <c r="F7" s="214"/>
      <c r="G7" s="206"/>
      <c r="H7" s="204"/>
      <c r="I7" s="212"/>
      <c r="K7" s="130" t="str">
        <f>Sheet1!C3&amp;" - "&amp;Sheet1!D3</f>
        <v>150 - 225</v>
      </c>
      <c r="L7" s="132" t="s">
        <v>25</v>
      </c>
      <c r="M7" s="132" t="s">
        <v>26</v>
      </c>
      <c r="N7" s="131" t="s">
        <v>28</v>
      </c>
      <c r="O7" s="131" t="s">
        <v>27</v>
      </c>
    </row>
    <row r="8" spans="2:53" ht="40" customHeight="1" thickBot="1" x14ac:dyDescent="0.25">
      <c r="B8" s="197" t="s">
        <v>5</v>
      </c>
      <c r="C8" s="50" t="s">
        <v>12</v>
      </c>
      <c r="D8" s="17" t="s">
        <v>636</v>
      </c>
      <c r="E8" s="18" t="s">
        <v>637</v>
      </c>
      <c r="F8" s="5"/>
      <c r="G8" s="9">
        <v>5</v>
      </c>
      <c r="H8" s="77" t="str">
        <f>IF(F8=0,"",F8*G8)</f>
        <v/>
      </c>
      <c r="I8" s="51"/>
      <c r="K8" s="130" t="str">
        <f>Sheet1!C4&amp;" - "&amp;Sheet1!D4</f>
        <v>126 - 149</v>
      </c>
      <c r="L8" s="133" t="s">
        <v>24</v>
      </c>
      <c r="M8" s="132" t="s">
        <v>25</v>
      </c>
      <c r="N8" s="132" t="s">
        <v>26</v>
      </c>
      <c r="O8" s="131" t="s">
        <v>28</v>
      </c>
    </row>
    <row r="9" spans="2:53" ht="40" customHeight="1" thickBot="1" x14ac:dyDescent="0.25">
      <c r="B9" s="198"/>
      <c r="C9" s="52" t="s">
        <v>11</v>
      </c>
      <c r="D9" s="19" t="s">
        <v>4</v>
      </c>
      <c r="E9" s="20" t="s">
        <v>0</v>
      </c>
      <c r="F9" s="4"/>
      <c r="G9" s="10">
        <v>12</v>
      </c>
      <c r="H9" s="74" t="str">
        <f t="shared" ref="H9:H22" si="0">IF(F9=0,"",F9*G9)</f>
        <v/>
      </c>
      <c r="I9" s="53"/>
      <c r="K9" s="130" t="str">
        <f>Sheet1!C5&amp;" - "&amp;Sheet1!D5</f>
        <v>100 - 125</v>
      </c>
      <c r="L9" s="133" t="s">
        <v>23</v>
      </c>
      <c r="M9" s="133" t="s">
        <v>24</v>
      </c>
      <c r="N9" s="132" t="s">
        <v>25</v>
      </c>
      <c r="O9" s="132" t="s">
        <v>26</v>
      </c>
    </row>
    <row r="10" spans="2:53" ht="40" customHeight="1" thickBot="1" x14ac:dyDescent="0.25">
      <c r="B10" s="198"/>
      <c r="C10" s="52" t="s">
        <v>13</v>
      </c>
      <c r="D10" s="21" t="s">
        <v>0</v>
      </c>
      <c r="E10" s="22" t="s">
        <v>4</v>
      </c>
      <c r="F10" s="4"/>
      <c r="G10" s="10">
        <v>5</v>
      </c>
      <c r="H10" s="78" t="str">
        <f t="shared" si="0"/>
        <v/>
      </c>
      <c r="I10" s="53"/>
      <c r="K10" s="136"/>
      <c r="L10" s="134" t="s">
        <v>29</v>
      </c>
      <c r="M10" s="135" t="s">
        <v>298</v>
      </c>
      <c r="N10" s="134" t="s">
        <v>31</v>
      </c>
      <c r="O10" s="135" t="s">
        <v>382</v>
      </c>
    </row>
    <row r="11" spans="2:53" ht="40" customHeight="1" thickBot="1" x14ac:dyDescent="0.25">
      <c r="B11" s="199"/>
      <c r="C11" s="54" t="s">
        <v>14</v>
      </c>
      <c r="D11" s="23" t="s">
        <v>4</v>
      </c>
      <c r="E11" s="24" t="s">
        <v>0</v>
      </c>
      <c r="F11" s="6"/>
      <c r="G11" s="11">
        <v>8</v>
      </c>
      <c r="H11" s="75" t="str">
        <f t="shared" si="0"/>
        <v/>
      </c>
      <c r="I11" s="55"/>
      <c r="K11" s="57"/>
      <c r="L11" s="41"/>
      <c r="M11" s="43"/>
      <c r="N11" s="42"/>
      <c r="O11" s="43"/>
    </row>
    <row r="12" spans="2:53" ht="40" customHeight="1" x14ac:dyDescent="0.2">
      <c r="B12" s="189" t="s">
        <v>6</v>
      </c>
      <c r="C12" s="50" t="s">
        <v>1</v>
      </c>
      <c r="D12" s="25" t="s">
        <v>0</v>
      </c>
      <c r="E12" s="26" t="s">
        <v>4</v>
      </c>
      <c r="F12" s="5"/>
      <c r="G12" s="9">
        <v>8</v>
      </c>
      <c r="H12" s="77" t="str">
        <f t="shared" si="0"/>
        <v/>
      </c>
      <c r="I12" s="51"/>
      <c r="K12" s="180" t="s">
        <v>545</v>
      </c>
      <c r="L12" s="181"/>
      <c r="M12" s="184" t="str">
        <f>IF(OR(H23="",C2=""),"",IF(OR(Sheet1!T3="True",Sheet1!T4="True",Sheet1!T5="True"),"Yes","No"))</f>
        <v/>
      </c>
      <c r="N12" s="185"/>
      <c r="O12" s="42"/>
    </row>
    <row r="13" spans="2:53" ht="40" customHeight="1" thickBot="1" x14ac:dyDescent="0.25">
      <c r="B13" s="190"/>
      <c r="C13" s="56" t="s">
        <v>289</v>
      </c>
      <c r="D13" s="27" t="s">
        <v>638</v>
      </c>
      <c r="E13" s="28" t="s">
        <v>639</v>
      </c>
      <c r="F13" s="4"/>
      <c r="G13" s="10">
        <v>9</v>
      </c>
      <c r="H13" s="79" t="str">
        <f t="shared" si="0"/>
        <v/>
      </c>
      <c r="I13" s="53"/>
      <c r="K13" s="182"/>
      <c r="L13" s="183"/>
      <c r="M13" s="186"/>
      <c r="N13" s="187"/>
      <c r="O13" s="42"/>
    </row>
    <row r="14" spans="2:53" ht="40" customHeight="1" x14ac:dyDescent="0.2">
      <c r="B14" s="190"/>
      <c r="C14" s="56" t="s">
        <v>16</v>
      </c>
      <c r="D14" s="29" t="s">
        <v>640</v>
      </c>
      <c r="E14" s="28" t="s">
        <v>641</v>
      </c>
      <c r="F14" s="4"/>
      <c r="G14" s="10">
        <v>6</v>
      </c>
      <c r="H14" s="74" t="str">
        <f t="shared" si="0"/>
        <v/>
      </c>
      <c r="I14" s="53"/>
      <c r="L14" s="63"/>
      <c r="M14" s="63"/>
      <c r="N14" s="63"/>
      <c r="O14" s="63"/>
    </row>
    <row r="15" spans="2:53" ht="40" customHeight="1" thickBot="1" x14ac:dyDescent="0.25">
      <c r="B15" s="196"/>
      <c r="C15" s="58" t="s">
        <v>272</v>
      </c>
      <c r="D15" s="30" t="s">
        <v>390</v>
      </c>
      <c r="E15" s="31" t="s">
        <v>389</v>
      </c>
      <c r="F15" s="6"/>
      <c r="G15" s="11">
        <v>3</v>
      </c>
      <c r="H15" s="76" t="str">
        <f t="shared" si="0"/>
        <v/>
      </c>
      <c r="I15" s="55"/>
    </row>
    <row r="16" spans="2:53" ht="40" customHeight="1" x14ac:dyDescent="0.2">
      <c r="B16" s="189" t="s">
        <v>7</v>
      </c>
      <c r="C16" s="59" t="s">
        <v>294</v>
      </c>
      <c r="D16" s="32" t="s">
        <v>0</v>
      </c>
      <c r="E16" s="28" t="s">
        <v>4</v>
      </c>
      <c r="F16" s="5"/>
      <c r="G16" s="12">
        <v>2</v>
      </c>
      <c r="H16" s="73" t="str">
        <f t="shared" si="0"/>
        <v/>
      </c>
      <c r="I16" s="60"/>
    </row>
    <row r="17" spans="2:9" ht="40" customHeight="1" thickBot="1" x14ac:dyDescent="0.25">
      <c r="B17" s="190"/>
      <c r="C17" s="61" t="s">
        <v>295</v>
      </c>
      <c r="D17" s="33" t="s">
        <v>642</v>
      </c>
      <c r="E17" s="34" t="s">
        <v>643</v>
      </c>
      <c r="F17" s="6"/>
      <c r="G17" s="13">
        <v>14</v>
      </c>
      <c r="H17" s="76" t="str">
        <f t="shared" si="0"/>
        <v/>
      </c>
      <c r="I17" s="62"/>
    </row>
    <row r="18" spans="2:9" ht="40" customHeight="1" x14ac:dyDescent="0.2">
      <c r="B18" s="189" t="s">
        <v>8</v>
      </c>
      <c r="C18" s="50" t="s">
        <v>15</v>
      </c>
      <c r="D18" s="35" t="s">
        <v>645</v>
      </c>
      <c r="E18" s="36" t="s">
        <v>644</v>
      </c>
      <c r="F18" s="5"/>
      <c r="G18" s="14">
        <v>2</v>
      </c>
      <c r="H18" s="77" t="str">
        <f t="shared" si="0"/>
        <v/>
      </c>
      <c r="I18" s="60"/>
    </row>
    <row r="19" spans="2:9" ht="40" customHeight="1" x14ac:dyDescent="0.2">
      <c r="B19" s="190"/>
      <c r="C19" s="64" t="s">
        <v>9</v>
      </c>
      <c r="D19" s="37" t="s">
        <v>4</v>
      </c>
      <c r="E19" s="38" t="s">
        <v>0</v>
      </c>
      <c r="F19" s="4"/>
      <c r="G19" s="15">
        <v>1</v>
      </c>
      <c r="H19" s="79" t="str">
        <f t="shared" si="0"/>
        <v/>
      </c>
      <c r="I19" s="65"/>
    </row>
    <row r="20" spans="2:9" ht="40" customHeight="1" x14ac:dyDescent="0.2">
      <c r="B20" s="190"/>
      <c r="C20" s="66" t="s">
        <v>10</v>
      </c>
      <c r="D20" s="37" t="s">
        <v>4</v>
      </c>
      <c r="E20" s="38" t="s">
        <v>0</v>
      </c>
      <c r="F20" s="4"/>
      <c r="G20" s="15">
        <v>11</v>
      </c>
      <c r="H20" s="79" t="str">
        <f t="shared" si="0"/>
        <v/>
      </c>
      <c r="I20" s="65"/>
    </row>
    <row r="21" spans="2:9" ht="40" customHeight="1" x14ac:dyDescent="0.2">
      <c r="B21" s="190"/>
      <c r="C21" s="56" t="s">
        <v>388</v>
      </c>
      <c r="D21" s="32" t="s">
        <v>0</v>
      </c>
      <c r="E21" s="28" t="s">
        <v>4</v>
      </c>
      <c r="F21" s="4"/>
      <c r="G21" s="15">
        <v>2</v>
      </c>
      <c r="H21" s="74" t="str">
        <f t="shared" si="0"/>
        <v/>
      </c>
      <c r="I21" s="65"/>
    </row>
    <row r="22" spans="2:9" ht="51" customHeight="1" thickBot="1" x14ac:dyDescent="0.25">
      <c r="B22" s="190"/>
      <c r="C22" s="67" t="s">
        <v>291</v>
      </c>
      <c r="D22" s="39" t="s">
        <v>0</v>
      </c>
      <c r="E22" s="40" t="s">
        <v>4</v>
      </c>
      <c r="F22" s="7"/>
      <c r="G22" s="16">
        <v>12</v>
      </c>
      <c r="H22" s="76" t="str">
        <f t="shared" si="0"/>
        <v/>
      </c>
      <c r="I22" s="62"/>
    </row>
    <row r="23" spans="2:9" ht="40" customHeight="1" thickBot="1" x14ac:dyDescent="0.25">
      <c r="B23" s="191" t="s">
        <v>629</v>
      </c>
      <c r="C23" s="192"/>
      <c r="D23" s="192"/>
      <c r="E23" s="192"/>
      <c r="F23" s="139"/>
      <c r="G23" s="72">
        <f>SUM(G8:G22)</f>
        <v>100</v>
      </c>
      <c r="H23" s="137" t="str">
        <f>IF(OR(ISBLANK(F8),ISBLANK(F9),ISBLANK(F10),ISBLANK(F11),ISBLANK(F12),ISBLANK(F13),ISBLANK(F14),ISBLANK(F15),ISBLANK(F16),ISBLANK(F17),ISBLANK(F18),ISBLANK(F19),ISBLANK(F20),ISBLANK(F21),ISBLANK(F22)),"",SUM(H8:H22))</f>
        <v/>
      </c>
      <c r="I23" s="138"/>
    </row>
    <row r="24" spans="2:9" x14ac:dyDescent="0.2">
      <c r="C24" s="68"/>
      <c r="D24" s="1"/>
      <c r="E24" s="1"/>
      <c r="F24" s="1"/>
      <c r="G24" s="1"/>
    </row>
    <row r="25" spans="2:9" ht="13" thickBot="1" x14ac:dyDescent="0.25">
      <c r="H25" s="2"/>
    </row>
    <row r="26" spans="2:9" ht="20" customHeight="1" x14ac:dyDescent="0.2">
      <c r="B26" s="171" t="s">
        <v>546</v>
      </c>
      <c r="C26" s="176" t="s">
        <v>300</v>
      </c>
      <c r="D26" s="215" t="e">
        <f>Sheet1!F9</f>
        <v>#N/A</v>
      </c>
      <c r="H26" s="1"/>
    </row>
    <row r="27" spans="2:9" ht="20" customHeight="1" thickBot="1" x14ac:dyDescent="0.25">
      <c r="B27" s="172"/>
      <c r="C27" s="177"/>
      <c r="D27" s="216"/>
      <c r="H27" s="1"/>
    </row>
    <row r="28" spans="2:9" ht="13" thickBot="1" x14ac:dyDescent="0.25">
      <c r="H28" s="1"/>
    </row>
    <row r="29" spans="2:9" ht="20" customHeight="1" x14ac:dyDescent="0.2">
      <c r="B29" s="171" t="s">
        <v>547</v>
      </c>
      <c r="C29" s="176" t="s">
        <v>387</v>
      </c>
      <c r="D29" s="178"/>
      <c r="H29" s="1"/>
    </row>
    <row r="30" spans="2:9" ht="20" customHeight="1" thickBot="1" x14ac:dyDescent="0.25">
      <c r="B30" s="172"/>
      <c r="C30" s="177"/>
      <c r="D30" s="179"/>
      <c r="H30" s="1"/>
    </row>
    <row r="31" spans="2:9" ht="13" thickBot="1" x14ac:dyDescent="0.25">
      <c r="D31" s="1"/>
      <c r="H31" s="1"/>
    </row>
    <row r="32" spans="2:9" ht="20" customHeight="1" thickBot="1" x14ac:dyDescent="0.25">
      <c r="B32" s="173"/>
      <c r="C32" s="174" t="s">
        <v>386</v>
      </c>
      <c r="D32" s="175"/>
      <c r="E32" s="175"/>
      <c r="F32" s="175"/>
      <c r="G32" s="175"/>
      <c r="H32" s="175"/>
      <c r="I32" s="175"/>
    </row>
    <row r="33" spans="1:9" ht="20" customHeight="1" thickBot="1" x14ac:dyDescent="0.25">
      <c r="B33" s="173"/>
      <c r="C33" s="174"/>
      <c r="D33" s="175"/>
      <c r="E33" s="175"/>
      <c r="F33" s="175"/>
      <c r="G33" s="175"/>
      <c r="H33" s="175"/>
      <c r="I33" s="175"/>
    </row>
    <row r="34" spans="1:9" ht="15" customHeight="1" thickBot="1" x14ac:dyDescent="0.25">
      <c r="C34" s="174"/>
      <c r="D34" s="175"/>
      <c r="E34" s="175"/>
      <c r="F34" s="175"/>
      <c r="G34" s="175"/>
      <c r="H34" s="175"/>
      <c r="I34" s="175"/>
    </row>
    <row r="35" spans="1:9" ht="15" customHeight="1" thickBot="1" x14ac:dyDescent="0.25">
      <c r="C35" s="174"/>
      <c r="D35" s="175"/>
      <c r="E35" s="175"/>
      <c r="F35" s="175"/>
      <c r="G35" s="175"/>
      <c r="H35" s="175"/>
      <c r="I35" s="175"/>
    </row>
    <row r="36" spans="1:9" ht="13" thickBot="1" x14ac:dyDescent="0.25">
      <c r="E36" s="1"/>
      <c r="F36" s="1"/>
      <c r="G36" s="1"/>
      <c r="H36" s="1"/>
    </row>
    <row r="37" spans="1:9" ht="40" customHeight="1" thickBot="1" x14ac:dyDescent="0.25">
      <c r="C37" s="80" t="s">
        <v>273</v>
      </c>
      <c r="D37" s="8"/>
      <c r="E37" s="200" t="s">
        <v>549</v>
      </c>
      <c r="F37" s="201"/>
      <c r="G37" s="164" t="s">
        <v>46</v>
      </c>
      <c r="H37" s="164" t="s">
        <v>548</v>
      </c>
    </row>
    <row r="38" spans="1:9" x14ac:dyDescent="0.2">
      <c r="D38" s="1"/>
      <c r="E38" s="1"/>
      <c r="F38" s="1"/>
      <c r="G38" s="1"/>
    </row>
    <row r="39" spans="1:9" x14ac:dyDescent="0.2">
      <c r="A39" s="69"/>
      <c r="B39" s="69"/>
      <c r="D39" s="1"/>
      <c r="E39" s="1"/>
      <c r="F39" s="1"/>
      <c r="G39" s="1"/>
    </row>
    <row r="40" spans="1:9" x14ac:dyDescent="0.2">
      <c r="D40" s="1"/>
      <c r="E40" s="1"/>
      <c r="F40" s="1"/>
      <c r="G40" s="1"/>
    </row>
    <row r="41" spans="1:9" x14ac:dyDescent="0.2">
      <c r="D41" s="1"/>
      <c r="E41" s="1"/>
      <c r="F41" s="1"/>
      <c r="G41" s="1"/>
    </row>
    <row r="42" spans="1:9" x14ac:dyDescent="0.2">
      <c r="D42" s="1"/>
      <c r="E42" s="1"/>
      <c r="F42" s="1"/>
      <c r="G42" s="1"/>
    </row>
    <row r="43" spans="1:9" x14ac:dyDescent="0.2">
      <c r="D43" s="1"/>
      <c r="E43" s="1"/>
      <c r="F43" s="1"/>
      <c r="G43" s="1"/>
    </row>
    <row r="44" spans="1:9" x14ac:dyDescent="0.2">
      <c r="D44" s="1"/>
      <c r="E44" s="1"/>
      <c r="F44" s="1"/>
      <c r="G44" s="1"/>
    </row>
    <row r="45" spans="1:9" x14ac:dyDescent="0.2">
      <c r="D45" s="1"/>
      <c r="E45" s="1"/>
      <c r="F45" s="1"/>
      <c r="G45" s="1"/>
    </row>
    <row r="46" spans="1:9" x14ac:dyDescent="0.2">
      <c r="D46" s="1"/>
      <c r="E46" s="1"/>
      <c r="F46" s="1"/>
      <c r="G46" s="1"/>
    </row>
    <row r="47" spans="1:9" x14ac:dyDescent="0.2">
      <c r="D47" s="1"/>
      <c r="E47" s="1"/>
      <c r="F47" s="1"/>
      <c r="G47" s="1"/>
    </row>
    <row r="48" spans="1:9" x14ac:dyDescent="0.2">
      <c r="D48" s="1"/>
      <c r="E48" s="1"/>
      <c r="F48" s="1"/>
      <c r="G48" s="1"/>
    </row>
    <row r="49" spans="4:7" x14ac:dyDescent="0.2">
      <c r="D49" s="1"/>
      <c r="E49" s="1"/>
      <c r="F49" s="1"/>
      <c r="G49" s="1"/>
    </row>
    <row r="50" spans="4:7" x14ac:dyDescent="0.2">
      <c r="D50" s="1"/>
      <c r="E50" s="1"/>
      <c r="F50" s="1"/>
      <c r="G50" s="1"/>
    </row>
    <row r="51" spans="4:7" x14ac:dyDescent="0.2">
      <c r="D51" s="1"/>
      <c r="E51" s="1"/>
      <c r="F51" s="1"/>
      <c r="G51" s="1"/>
    </row>
    <row r="52" spans="4:7" x14ac:dyDescent="0.2">
      <c r="D52" s="1"/>
      <c r="E52" s="1"/>
      <c r="F52" s="1"/>
      <c r="G52" s="1"/>
    </row>
    <row r="53" spans="4:7" x14ac:dyDescent="0.2">
      <c r="D53" s="1"/>
      <c r="E53" s="1"/>
      <c r="F53" s="1"/>
      <c r="G53" s="1"/>
    </row>
    <row r="54" spans="4:7" x14ac:dyDescent="0.2">
      <c r="D54" s="1"/>
      <c r="E54" s="1"/>
      <c r="F54" s="1"/>
      <c r="G54" s="1"/>
    </row>
    <row r="55" spans="4:7" x14ac:dyDescent="0.2">
      <c r="D55" s="1"/>
      <c r="E55" s="1"/>
      <c r="F55" s="1"/>
      <c r="G55" s="1"/>
    </row>
    <row r="56" spans="4:7" x14ac:dyDescent="0.2">
      <c r="D56" s="1"/>
      <c r="E56" s="1"/>
      <c r="F56" s="1"/>
      <c r="G56" s="1"/>
    </row>
    <row r="57" spans="4:7" x14ac:dyDescent="0.2">
      <c r="D57" s="1"/>
      <c r="E57" s="1"/>
      <c r="F57" s="1"/>
      <c r="G57" s="1"/>
    </row>
    <row r="58" spans="4:7" x14ac:dyDescent="0.2">
      <c r="D58" s="1"/>
      <c r="E58" s="1"/>
      <c r="F58" s="1"/>
      <c r="G58" s="1"/>
    </row>
    <row r="59" spans="4:7" x14ac:dyDescent="0.2">
      <c r="D59" s="1"/>
      <c r="E59" s="1"/>
      <c r="F59" s="1"/>
      <c r="G59" s="1"/>
    </row>
    <row r="60" spans="4:7" x14ac:dyDescent="0.2">
      <c r="D60" s="1"/>
      <c r="E60" s="1"/>
      <c r="F60" s="1"/>
      <c r="G60" s="1"/>
    </row>
    <row r="61" spans="4:7" x14ac:dyDescent="0.2">
      <c r="D61" s="1"/>
      <c r="E61" s="1"/>
      <c r="F61" s="1"/>
      <c r="G61" s="1"/>
    </row>
    <row r="62" spans="4:7" x14ac:dyDescent="0.2">
      <c r="D62" s="1"/>
      <c r="E62" s="1"/>
      <c r="F62" s="1"/>
      <c r="G62" s="1"/>
    </row>
    <row r="63" spans="4:7" x14ac:dyDescent="0.2">
      <c r="D63" s="1"/>
      <c r="E63" s="1"/>
      <c r="F63" s="1"/>
      <c r="G63" s="1"/>
    </row>
    <row r="64" spans="4:7" x14ac:dyDescent="0.2">
      <c r="D64" s="1"/>
      <c r="E64" s="1"/>
      <c r="F64" s="1"/>
      <c r="G64" s="1"/>
    </row>
    <row r="65" spans="4:7" x14ac:dyDescent="0.2">
      <c r="D65" s="1"/>
      <c r="E65" s="1"/>
      <c r="F65" s="1"/>
      <c r="G65" s="1"/>
    </row>
    <row r="66" spans="4:7" x14ac:dyDescent="0.2">
      <c r="D66" s="1"/>
      <c r="E66" s="1"/>
      <c r="F66" s="1"/>
      <c r="G66" s="1"/>
    </row>
    <row r="67" spans="4:7" x14ac:dyDescent="0.2">
      <c r="D67" s="1"/>
      <c r="E67" s="1"/>
      <c r="F67" s="1"/>
      <c r="G67" s="1"/>
    </row>
    <row r="68" spans="4:7" x14ac:dyDescent="0.2">
      <c r="D68" s="1"/>
      <c r="E68" s="1"/>
      <c r="F68" s="1"/>
      <c r="G68" s="1"/>
    </row>
    <row r="69" spans="4:7" x14ac:dyDescent="0.2">
      <c r="D69" s="1"/>
      <c r="E69" s="1"/>
      <c r="F69" s="1"/>
      <c r="G69" s="1"/>
    </row>
    <row r="70" spans="4:7" x14ac:dyDescent="0.2">
      <c r="D70" s="1"/>
      <c r="E70" s="1"/>
      <c r="F70" s="1"/>
      <c r="G70" s="1"/>
    </row>
    <row r="71" spans="4:7" x14ac:dyDescent="0.2">
      <c r="D71" s="1"/>
      <c r="E71" s="1"/>
      <c r="F71" s="1"/>
      <c r="G71" s="1"/>
    </row>
    <row r="72" spans="4:7" x14ac:dyDescent="0.2">
      <c r="D72" s="1"/>
      <c r="E72" s="1"/>
      <c r="F72" s="1"/>
      <c r="G72" s="1"/>
    </row>
    <row r="73" spans="4:7" x14ac:dyDescent="0.2">
      <c r="D73" s="1"/>
      <c r="E73" s="1"/>
      <c r="F73" s="1"/>
      <c r="G73" s="1"/>
    </row>
    <row r="74" spans="4:7" x14ac:dyDescent="0.2">
      <c r="D74" s="1"/>
      <c r="E74" s="1"/>
      <c r="F74" s="1"/>
      <c r="G74" s="1"/>
    </row>
    <row r="75" spans="4:7" x14ac:dyDescent="0.2">
      <c r="D75" s="1"/>
      <c r="E75" s="1"/>
      <c r="F75" s="1"/>
      <c r="G75" s="1"/>
    </row>
    <row r="76" spans="4:7" x14ac:dyDescent="0.2">
      <c r="D76" s="1"/>
      <c r="E76" s="1"/>
      <c r="F76" s="1"/>
      <c r="G76" s="1"/>
    </row>
    <row r="77" spans="4:7" x14ac:dyDescent="0.2">
      <c r="D77" s="1"/>
      <c r="E77" s="1"/>
      <c r="F77" s="1"/>
      <c r="G77" s="1"/>
    </row>
    <row r="78" spans="4:7" x14ac:dyDescent="0.2">
      <c r="D78" s="1"/>
      <c r="E78" s="1"/>
      <c r="F78" s="1"/>
      <c r="G78" s="1"/>
    </row>
    <row r="79" spans="4:7" x14ac:dyDescent="0.2">
      <c r="D79" s="1"/>
      <c r="E79" s="1"/>
      <c r="F79" s="1"/>
      <c r="G79" s="1"/>
    </row>
    <row r="80" spans="4:7" x14ac:dyDescent="0.2">
      <c r="D80" s="1"/>
      <c r="E80" s="1"/>
      <c r="F80" s="1"/>
      <c r="G80" s="1"/>
    </row>
    <row r="81" spans="4:7" x14ac:dyDescent="0.2">
      <c r="D81" s="1"/>
      <c r="E81" s="1"/>
      <c r="F81" s="1"/>
      <c r="G81" s="1"/>
    </row>
    <row r="82" spans="4:7" x14ac:dyDescent="0.2">
      <c r="D82" s="1"/>
      <c r="E82" s="1"/>
      <c r="F82" s="1"/>
      <c r="G82" s="1"/>
    </row>
    <row r="83" spans="4:7" x14ac:dyDescent="0.2">
      <c r="D83" s="1"/>
      <c r="E83" s="1"/>
      <c r="F83" s="1"/>
      <c r="G83" s="1"/>
    </row>
    <row r="84" spans="4:7" x14ac:dyDescent="0.2">
      <c r="D84" s="1"/>
      <c r="E84" s="1"/>
      <c r="F84" s="1"/>
      <c r="G84" s="1"/>
    </row>
    <row r="85" spans="4:7" x14ac:dyDescent="0.2">
      <c r="D85" s="1"/>
      <c r="E85" s="1"/>
      <c r="F85" s="1"/>
      <c r="G85" s="1"/>
    </row>
    <row r="86" spans="4:7" x14ac:dyDescent="0.2">
      <c r="D86" s="1"/>
      <c r="E86" s="1"/>
      <c r="F86" s="1"/>
      <c r="G86" s="1"/>
    </row>
    <row r="87" spans="4:7" x14ac:dyDescent="0.2">
      <c r="D87" s="1"/>
      <c r="E87" s="1"/>
      <c r="F87" s="1"/>
      <c r="G87" s="1"/>
    </row>
    <row r="88" spans="4:7" x14ac:dyDescent="0.2">
      <c r="D88" s="1"/>
      <c r="E88" s="1"/>
      <c r="F88" s="1"/>
      <c r="G88" s="1"/>
    </row>
    <row r="89" spans="4:7" x14ac:dyDescent="0.2">
      <c r="D89" s="1"/>
      <c r="E89" s="1"/>
      <c r="F89" s="1"/>
      <c r="G89" s="1"/>
    </row>
    <row r="90" spans="4:7" x14ac:dyDescent="0.2">
      <c r="D90" s="1"/>
      <c r="E90" s="1"/>
      <c r="F90" s="1"/>
      <c r="G90" s="1"/>
    </row>
    <row r="91" spans="4:7" x14ac:dyDescent="0.2">
      <c r="D91" s="1"/>
      <c r="E91" s="1"/>
      <c r="F91" s="1"/>
      <c r="G91" s="1"/>
    </row>
    <row r="92" spans="4:7" x14ac:dyDescent="0.2">
      <c r="D92" s="1"/>
      <c r="E92" s="1"/>
      <c r="F92" s="1"/>
      <c r="G92" s="1"/>
    </row>
    <row r="93" spans="4:7" x14ac:dyDescent="0.2">
      <c r="D93" s="1"/>
      <c r="E93" s="1"/>
      <c r="F93" s="1"/>
      <c r="G93" s="1"/>
    </row>
    <row r="94" spans="4:7" x14ac:dyDescent="0.2">
      <c r="D94" s="1"/>
      <c r="E94" s="1"/>
      <c r="F94" s="1"/>
      <c r="G94" s="1"/>
    </row>
    <row r="95" spans="4:7" x14ac:dyDescent="0.2">
      <c r="D95" s="1"/>
      <c r="E95" s="1"/>
      <c r="F95" s="1"/>
      <c r="G95" s="1"/>
    </row>
    <row r="96" spans="4:7" x14ac:dyDescent="0.2">
      <c r="D96" s="1"/>
      <c r="E96" s="1"/>
      <c r="F96" s="1"/>
      <c r="G96" s="1"/>
    </row>
    <row r="97" spans="4:7" x14ac:dyDescent="0.2">
      <c r="D97" s="1"/>
      <c r="E97" s="1"/>
      <c r="F97" s="1"/>
      <c r="G97" s="1"/>
    </row>
    <row r="98" spans="4:7" x14ac:dyDescent="0.2">
      <c r="D98" s="1"/>
      <c r="E98" s="1"/>
      <c r="F98" s="1"/>
      <c r="G98" s="1"/>
    </row>
    <row r="99" spans="4:7" x14ac:dyDescent="0.2">
      <c r="D99" s="1"/>
      <c r="E99" s="1"/>
      <c r="F99" s="1"/>
      <c r="G99" s="1"/>
    </row>
    <row r="100" spans="4:7" x14ac:dyDescent="0.2">
      <c r="D100" s="1"/>
      <c r="E100" s="1"/>
      <c r="F100" s="1"/>
      <c r="G100" s="1"/>
    </row>
    <row r="101" spans="4:7" x14ac:dyDescent="0.2">
      <c r="D101" s="1"/>
      <c r="E101" s="1"/>
      <c r="F101" s="1"/>
      <c r="G101" s="1"/>
    </row>
    <row r="102" spans="4:7" x14ac:dyDescent="0.2">
      <c r="D102" s="1"/>
      <c r="E102" s="1"/>
      <c r="F102" s="1"/>
      <c r="G102" s="1"/>
    </row>
    <row r="103" spans="4:7" x14ac:dyDescent="0.2">
      <c r="D103" s="1"/>
      <c r="E103" s="1"/>
      <c r="F103" s="1"/>
      <c r="G103" s="1"/>
    </row>
    <row r="104" spans="4:7" x14ac:dyDescent="0.2">
      <c r="D104" s="1"/>
      <c r="E104" s="1"/>
      <c r="F104" s="1"/>
      <c r="G104" s="1"/>
    </row>
    <row r="105" spans="4:7" x14ac:dyDescent="0.2">
      <c r="D105" s="1"/>
      <c r="E105" s="1"/>
      <c r="F105" s="1"/>
      <c r="G105" s="1"/>
    </row>
    <row r="106" spans="4:7" x14ac:dyDescent="0.2">
      <c r="D106" s="1"/>
      <c r="E106" s="1"/>
      <c r="F106" s="1"/>
      <c r="G106" s="1"/>
    </row>
    <row r="107" spans="4:7" x14ac:dyDescent="0.2">
      <c r="D107" s="1"/>
      <c r="E107" s="1"/>
      <c r="F107" s="1"/>
      <c r="G107" s="1"/>
    </row>
    <row r="108" spans="4:7" x14ac:dyDescent="0.2">
      <c r="D108" s="1"/>
      <c r="E108" s="1"/>
      <c r="F108" s="1"/>
      <c r="G108" s="1"/>
    </row>
    <row r="109" spans="4:7" x14ac:dyDescent="0.2">
      <c r="D109" s="1"/>
      <c r="E109" s="1"/>
      <c r="F109" s="1"/>
      <c r="G109" s="1"/>
    </row>
    <row r="110" spans="4:7" x14ac:dyDescent="0.2">
      <c r="D110" s="1"/>
      <c r="E110" s="1"/>
      <c r="F110" s="1"/>
      <c r="G110" s="1"/>
    </row>
    <row r="111" spans="4:7" x14ac:dyDescent="0.2">
      <c r="D111" s="1"/>
      <c r="E111" s="1"/>
      <c r="F111" s="1"/>
      <c r="G111" s="1"/>
    </row>
    <row r="112" spans="4:7" x14ac:dyDescent="0.2">
      <c r="D112" s="1"/>
      <c r="E112" s="1"/>
      <c r="F112" s="1"/>
      <c r="G112" s="1"/>
    </row>
    <row r="113" spans="4:7" x14ac:dyDescent="0.2">
      <c r="D113" s="1"/>
      <c r="E113" s="1"/>
      <c r="F113" s="1"/>
      <c r="G113" s="1"/>
    </row>
    <row r="114" spans="4:7" x14ac:dyDescent="0.2">
      <c r="D114" s="1"/>
      <c r="E114" s="1"/>
      <c r="F114" s="1"/>
      <c r="G114" s="1"/>
    </row>
    <row r="115" spans="4:7" x14ac:dyDescent="0.2">
      <c r="D115" s="1"/>
      <c r="E115" s="1"/>
      <c r="F115" s="1"/>
      <c r="G115" s="1"/>
    </row>
    <row r="116" spans="4:7" x14ac:dyDescent="0.2">
      <c r="D116" s="1"/>
      <c r="E116" s="1"/>
      <c r="F116" s="1"/>
      <c r="G116" s="1"/>
    </row>
    <row r="117" spans="4:7" x14ac:dyDescent="0.2">
      <c r="D117" s="1"/>
      <c r="E117" s="1"/>
      <c r="F117" s="1"/>
      <c r="G117" s="1"/>
    </row>
    <row r="118" spans="4:7" x14ac:dyDescent="0.2">
      <c r="D118" s="1"/>
      <c r="E118" s="1"/>
      <c r="F118" s="1"/>
      <c r="G118" s="1"/>
    </row>
    <row r="119" spans="4:7" x14ac:dyDescent="0.2">
      <c r="D119" s="1"/>
      <c r="E119" s="1"/>
      <c r="F119" s="1"/>
      <c r="G119" s="1"/>
    </row>
    <row r="120" spans="4:7" x14ac:dyDescent="0.2">
      <c r="D120" s="1"/>
      <c r="E120" s="1"/>
      <c r="F120" s="1"/>
      <c r="G120" s="1"/>
    </row>
    <row r="121" spans="4:7" x14ac:dyDescent="0.2">
      <c r="D121" s="1"/>
      <c r="E121" s="1"/>
      <c r="F121" s="1"/>
      <c r="G121" s="1"/>
    </row>
    <row r="122" spans="4:7" x14ac:dyDescent="0.2">
      <c r="D122" s="1"/>
      <c r="E122" s="1"/>
      <c r="F122" s="1"/>
      <c r="G122" s="1"/>
    </row>
    <row r="123" spans="4:7" x14ac:dyDescent="0.2">
      <c r="D123" s="1"/>
      <c r="E123" s="1"/>
      <c r="F123" s="1"/>
      <c r="G123" s="1"/>
    </row>
    <row r="124" spans="4:7" x14ac:dyDescent="0.2">
      <c r="D124" s="1"/>
      <c r="E124" s="1"/>
      <c r="F124" s="1"/>
      <c r="G124" s="1"/>
    </row>
    <row r="125" spans="4:7" x14ac:dyDescent="0.2">
      <c r="D125" s="1"/>
      <c r="E125" s="1"/>
      <c r="F125" s="1"/>
      <c r="G125" s="1"/>
    </row>
    <row r="126" spans="4:7" x14ac:dyDescent="0.2">
      <c r="D126" s="1"/>
      <c r="E126" s="1"/>
      <c r="F126" s="1"/>
      <c r="G126" s="1"/>
    </row>
    <row r="127" spans="4:7" x14ac:dyDescent="0.2">
      <c r="D127" s="1"/>
      <c r="E127" s="1"/>
      <c r="F127" s="1"/>
      <c r="G127" s="1"/>
    </row>
    <row r="128" spans="4:7" x14ac:dyDescent="0.2">
      <c r="D128" s="1"/>
      <c r="E128" s="1"/>
      <c r="F128" s="1"/>
      <c r="G128" s="1"/>
    </row>
    <row r="129" spans="4:7" x14ac:dyDescent="0.2">
      <c r="D129" s="1"/>
      <c r="E129" s="1"/>
      <c r="F129" s="1"/>
      <c r="G129" s="1"/>
    </row>
    <row r="130" spans="4:7" x14ac:dyDescent="0.2">
      <c r="D130" s="1"/>
      <c r="E130" s="1"/>
      <c r="F130" s="1"/>
      <c r="G130" s="1"/>
    </row>
    <row r="131" spans="4:7" x14ac:dyDescent="0.2">
      <c r="D131" s="1"/>
      <c r="E131" s="1"/>
      <c r="F131" s="1"/>
      <c r="G131" s="1"/>
    </row>
    <row r="132" spans="4:7" x14ac:dyDescent="0.2">
      <c r="D132" s="1"/>
      <c r="E132" s="1"/>
      <c r="F132" s="1"/>
      <c r="G132" s="1"/>
    </row>
    <row r="133" spans="4:7" x14ac:dyDescent="0.2">
      <c r="D133" s="1"/>
      <c r="E133" s="1"/>
      <c r="F133" s="1"/>
      <c r="G133" s="1"/>
    </row>
    <row r="134" spans="4:7" x14ac:dyDescent="0.2">
      <c r="D134" s="1"/>
      <c r="E134" s="1"/>
      <c r="F134" s="1"/>
      <c r="G134" s="1"/>
    </row>
    <row r="135" spans="4:7" x14ac:dyDescent="0.2">
      <c r="D135" s="1"/>
      <c r="E135" s="1"/>
      <c r="F135" s="1"/>
      <c r="G135" s="1"/>
    </row>
    <row r="136" spans="4:7" x14ac:dyDescent="0.2">
      <c r="D136" s="1"/>
      <c r="E136" s="1"/>
      <c r="F136" s="1"/>
      <c r="G136" s="1"/>
    </row>
    <row r="137" spans="4:7" x14ac:dyDescent="0.2">
      <c r="D137" s="1"/>
      <c r="E137" s="1"/>
      <c r="F137" s="1"/>
      <c r="G137" s="1"/>
    </row>
    <row r="138" spans="4:7" x14ac:dyDescent="0.2">
      <c r="D138" s="1"/>
      <c r="E138" s="1"/>
      <c r="F138" s="1"/>
      <c r="G138" s="1"/>
    </row>
    <row r="139" spans="4:7" x14ac:dyDescent="0.2">
      <c r="D139" s="1"/>
      <c r="E139" s="1"/>
      <c r="F139" s="1"/>
      <c r="G139" s="1"/>
    </row>
    <row r="140" spans="4:7" x14ac:dyDescent="0.2">
      <c r="D140" s="1"/>
      <c r="E140" s="1"/>
      <c r="F140" s="1"/>
      <c r="G140" s="1"/>
    </row>
    <row r="141" spans="4:7" x14ac:dyDescent="0.2">
      <c r="D141" s="1"/>
      <c r="E141" s="1"/>
      <c r="F141" s="1"/>
      <c r="G141" s="1"/>
    </row>
    <row r="142" spans="4:7" x14ac:dyDescent="0.2">
      <c r="D142" s="1"/>
      <c r="E142" s="1"/>
      <c r="F142" s="1"/>
      <c r="G142" s="1"/>
    </row>
    <row r="143" spans="4:7" x14ac:dyDescent="0.2">
      <c r="D143" s="1"/>
      <c r="E143" s="1"/>
      <c r="F143" s="1"/>
      <c r="G143" s="1"/>
    </row>
    <row r="144" spans="4:7" x14ac:dyDescent="0.2">
      <c r="D144" s="1"/>
      <c r="E144" s="1"/>
      <c r="F144" s="1"/>
      <c r="G144" s="1"/>
    </row>
    <row r="145" spans="4:7" x14ac:dyDescent="0.2">
      <c r="D145" s="1"/>
      <c r="E145" s="1"/>
      <c r="F145" s="1"/>
      <c r="G145" s="1"/>
    </row>
    <row r="146" spans="4:7" x14ac:dyDescent="0.2">
      <c r="D146" s="1"/>
      <c r="E146" s="1"/>
      <c r="F146" s="1"/>
      <c r="G146" s="1"/>
    </row>
    <row r="147" spans="4:7" x14ac:dyDescent="0.2">
      <c r="D147" s="1"/>
      <c r="E147" s="1"/>
      <c r="F147" s="1"/>
      <c r="G147" s="1"/>
    </row>
    <row r="148" spans="4:7" x14ac:dyDescent="0.2">
      <c r="D148" s="1"/>
      <c r="E148" s="1"/>
      <c r="F148" s="1"/>
      <c r="G148" s="1"/>
    </row>
    <row r="149" spans="4:7" x14ac:dyDescent="0.2">
      <c r="D149" s="1"/>
      <c r="E149" s="1"/>
      <c r="F149" s="1"/>
      <c r="G149" s="1"/>
    </row>
    <row r="150" spans="4:7" x14ac:dyDescent="0.2">
      <c r="D150" s="1"/>
      <c r="E150" s="1"/>
      <c r="F150" s="1"/>
      <c r="G150" s="1"/>
    </row>
    <row r="151" spans="4:7" x14ac:dyDescent="0.2">
      <c r="D151" s="1"/>
      <c r="E151" s="1"/>
      <c r="F151" s="1"/>
      <c r="G151" s="1"/>
    </row>
    <row r="152" spans="4:7" x14ac:dyDescent="0.2">
      <c r="D152" s="1"/>
      <c r="E152" s="1"/>
      <c r="F152" s="1"/>
      <c r="G152" s="1"/>
    </row>
    <row r="153" spans="4:7" x14ac:dyDescent="0.2">
      <c r="D153" s="1"/>
      <c r="E153" s="1"/>
      <c r="F153" s="1"/>
      <c r="G153" s="1"/>
    </row>
    <row r="154" spans="4:7" x14ac:dyDescent="0.2">
      <c r="D154" s="1"/>
      <c r="E154" s="1"/>
      <c r="F154" s="1"/>
      <c r="G154" s="1"/>
    </row>
    <row r="155" spans="4:7" x14ac:dyDescent="0.2">
      <c r="D155" s="1"/>
      <c r="E155" s="1"/>
      <c r="F155" s="1"/>
      <c r="G155" s="1"/>
    </row>
    <row r="156" spans="4:7" x14ac:dyDescent="0.2">
      <c r="D156" s="1"/>
      <c r="E156" s="1"/>
      <c r="F156" s="1"/>
      <c r="G156" s="1"/>
    </row>
    <row r="157" spans="4:7" x14ac:dyDescent="0.2">
      <c r="D157" s="1"/>
      <c r="E157" s="1"/>
      <c r="F157" s="1"/>
      <c r="G157" s="1"/>
    </row>
    <row r="158" spans="4:7" x14ac:dyDescent="0.2">
      <c r="D158" s="1"/>
      <c r="E158" s="1"/>
      <c r="F158" s="1"/>
      <c r="G158" s="1"/>
    </row>
    <row r="159" spans="4:7" x14ac:dyDescent="0.2">
      <c r="D159" s="1"/>
      <c r="E159" s="1"/>
      <c r="F159" s="1"/>
      <c r="G159" s="1"/>
    </row>
    <row r="160" spans="4:7" x14ac:dyDescent="0.2">
      <c r="D160" s="1"/>
      <c r="E160" s="1"/>
      <c r="F160" s="1"/>
      <c r="G160" s="1"/>
    </row>
    <row r="161" spans="4:7" x14ac:dyDescent="0.2">
      <c r="D161" s="1"/>
      <c r="E161" s="1"/>
      <c r="F161" s="1"/>
      <c r="G161" s="1"/>
    </row>
    <row r="162" spans="4:7" x14ac:dyDescent="0.2">
      <c r="D162" s="1"/>
      <c r="E162" s="1"/>
      <c r="F162" s="1"/>
      <c r="G162" s="1"/>
    </row>
    <row r="163" spans="4:7" x14ac:dyDescent="0.2">
      <c r="D163" s="1"/>
      <c r="E163" s="1"/>
      <c r="F163" s="1"/>
      <c r="G163" s="1"/>
    </row>
    <row r="164" spans="4:7" x14ac:dyDescent="0.2">
      <c r="D164" s="1"/>
      <c r="E164" s="1"/>
      <c r="F164" s="1"/>
      <c r="G164" s="1"/>
    </row>
    <row r="165" spans="4:7" x14ac:dyDescent="0.2">
      <c r="D165" s="1"/>
      <c r="E165" s="1"/>
      <c r="F165" s="1"/>
      <c r="G165" s="1"/>
    </row>
    <row r="166" spans="4:7" x14ac:dyDescent="0.2">
      <c r="D166" s="1"/>
      <c r="E166" s="1"/>
      <c r="F166" s="1"/>
      <c r="G166" s="1"/>
    </row>
    <row r="167" spans="4:7" x14ac:dyDescent="0.2">
      <c r="D167" s="1"/>
      <c r="E167" s="1"/>
      <c r="F167" s="1"/>
      <c r="G167" s="1"/>
    </row>
    <row r="168" spans="4:7" x14ac:dyDescent="0.2">
      <c r="D168" s="1"/>
      <c r="E168" s="1"/>
      <c r="F168" s="1"/>
      <c r="G168" s="1"/>
    </row>
    <row r="169" spans="4:7" x14ac:dyDescent="0.2">
      <c r="D169" s="1"/>
      <c r="E169" s="1"/>
      <c r="F169" s="1"/>
      <c r="G169" s="1"/>
    </row>
    <row r="170" spans="4:7" x14ac:dyDescent="0.2">
      <c r="D170" s="1"/>
      <c r="E170" s="1"/>
      <c r="F170" s="1"/>
      <c r="G170" s="1"/>
    </row>
    <row r="171" spans="4:7" x14ac:dyDescent="0.2">
      <c r="D171" s="1"/>
      <c r="E171" s="1"/>
      <c r="F171" s="1"/>
      <c r="G171" s="1"/>
    </row>
    <row r="172" spans="4:7" x14ac:dyDescent="0.2">
      <c r="D172" s="1"/>
      <c r="E172" s="1"/>
      <c r="F172" s="1"/>
      <c r="G172" s="1"/>
    </row>
    <row r="173" spans="4:7" x14ac:dyDescent="0.2">
      <c r="D173" s="1"/>
      <c r="E173" s="1"/>
      <c r="F173" s="1"/>
      <c r="G173" s="1"/>
    </row>
    <row r="174" spans="4:7" x14ac:dyDescent="0.2">
      <c r="D174" s="1"/>
      <c r="E174" s="1"/>
      <c r="F174" s="1"/>
      <c r="G174" s="1"/>
    </row>
    <row r="175" spans="4:7" x14ac:dyDescent="0.2">
      <c r="D175" s="1"/>
      <c r="E175" s="1"/>
      <c r="F175" s="1"/>
      <c r="G175" s="1"/>
    </row>
    <row r="176" spans="4:7" x14ac:dyDescent="0.2">
      <c r="D176" s="1"/>
      <c r="E176" s="1"/>
      <c r="F176" s="1"/>
      <c r="G176" s="1"/>
    </row>
    <row r="177" spans="4:7" x14ac:dyDescent="0.2">
      <c r="D177" s="1"/>
      <c r="E177" s="1"/>
      <c r="F177" s="1"/>
      <c r="G177" s="1"/>
    </row>
    <row r="178" spans="4:7" x14ac:dyDescent="0.2">
      <c r="D178" s="1"/>
      <c r="E178" s="1"/>
      <c r="F178" s="1"/>
      <c r="G178" s="1"/>
    </row>
    <row r="179" spans="4:7" x14ac:dyDescent="0.2">
      <c r="D179" s="1"/>
      <c r="E179" s="1"/>
      <c r="F179" s="1"/>
      <c r="G179" s="1"/>
    </row>
    <row r="180" spans="4:7" x14ac:dyDescent="0.2">
      <c r="D180" s="1"/>
      <c r="E180" s="1"/>
      <c r="F180" s="1"/>
      <c r="G180" s="1"/>
    </row>
    <row r="181" spans="4:7" x14ac:dyDescent="0.2">
      <c r="D181" s="1"/>
      <c r="E181" s="1"/>
      <c r="F181" s="1"/>
      <c r="G181" s="1"/>
    </row>
    <row r="182" spans="4:7" x14ac:dyDescent="0.2">
      <c r="D182" s="1"/>
      <c r="E182" s="1"/>
      <c r="F182" s="1"/>
      <c r="G182" s="1"/>
    </row>
    <row r="183" spans="4:7" x14ac:dyDescent="0.2">
      <c r="D183" s="1"/>
      <c r="E183" s="1"/>
      <c r="F183" s="1"/>
      <c r="G183" s="1"/>
    </row>
    <row r="184" spans="4:7" x14ac:dyDescent="0.2">
      <c r="D184" s="1"/>
      <c r="E184" s="1"/>
      <c r="F184" s="1"/>
      <c r="G184" s="1"/>
    </row>
    <row r="185" spans="4:7" x14ac:dyDescent="0.2">
      <c r="D185" s="1"/>
      <c r="E185" s="1"/>
      <c r="F185" s="1"/>
      <c r="G185" s="1"/>
    </row>
    <row r="186" spans="4:7" x14ac:dyDescent="0.2">
      <c r="D186" s="1"/>
      <c r="E186" s="1"/>
      <c r="F186" s="1"/>
      <c r="G186" s="1"/>
    </row>
    <row r="187" spans="4:7" x14ac:dyDescent="0.2">
      <c r="D187" s="1"/>
      <c r="E187" s="1"/>
      <c r="F187" s="1"/>
      <c r="G187" s="1"/>
    </row>
    <row r="188" spans="4:7" x14ac:dyDescent="0.2">
      <c r="D188" s="1"/>
      <c r="E188" s="1"/>
      <c r="F188" s="1"/>
      <c r="G188" s="1"/>
    </row>
    <row r="189" spans="4:7" x14ac:dyDescent="0.2">
      <c r="D189" s="1"/>
      <c r="E189" s="1"/>
      <c r="F189" s="1"/>
      <c r="G189" s="1"/>
    </row>
    <row r="190" spans="4:7" x14ac:dyDescent="0.2">
      <c r="D190" s="1"/>
      <c r="E190" s="1"/>
      <c r="F190" s="1"/>
      <c r="G190" s="1"/>
    </row>
    <row r="191" spans="4:7" x14ac:dyDescent="0.2">
      <c r="D191" s="1"/>
      <c r="E191" s="1"/>
      <c r="F191" s="1"/>
      <c r="G191" s="1"/>
    </row>
    <row r="192" spans="4:7" x14ac:dyDescent="0.2">
      <c r="D192" s="1"/>
      <c r="E192" s="1"/>
      <c r="F192" s="1"/>
      <c r="G192" s="1"/>
    </row>
    <row r="193" spans="4:7" x14ac:dyDescent="0.2">
      <c r="D193" s="1"/>
      <c r="E193" s="1"/>
      <c r="F193" s="1"/>
      <c r="G193" s="1"/>
    </row>
    <row r="194" spans="4:7" x14ac:dyDescent="0.2">
      <c r="D194" s="1"/>
      <c r="E194" s="1"/>
      <c r="F194" s="1"/>
      <c r="G194" s="1"/>
    </row>
    <row r="195" spans="4:7" x14ac:dyDescent="0.2">
      <c r="D195" s="1"/>
      <c r="E195" s="1"/>
      <c r="F195" s="1"/>
      <c r="G195" s="1"/>
    </row>
    <row r="196" spans="4:7" x14ac:dyDescent="0.2">
      <c r="D196" s="1"/>
      <c r="E196" s="1"/>
      <c r="F196" s="1"/>
      <c r="G196" s="1"/>
    </row>
    <row r="197" spans="4:7" x14ac:dyDescent="0.2">
      <c r="D197" s="1"/>
      <c r="E197" s="1"/>
      <c r="F197" s="1"/>
      <c r="G197" s="1"/>
    </row>
    <row r="198" spans="4:7" x14ac:dyDescent="0.2">
      <c r="D198" s="1"/>
      <c r="E198" s="1"/>
      <c r="F198" s="1"/>
      <c r="G198" s="1"/>
    </row>
    <row r="199" spans="4:7" x14ac:dyDescent="0.2">
      <c r="D199" s="1"/>
      <c r="E199" s="1"/>
      <c r="F199" s="1"/>
      <c r="G199" s="1"/>
    </row>
    <row r="200" spans="4:7" x14ac:dyDescent="0.2">
      <c r="D200" s="1"/>
      <c r="E200" s="1"/>
      <c r="F200" s="1"/>
      <c r="G200" s="1"/>
    </row>
    <row r="201" spans="4:7" x14ac:dyDescent="0.2">
      <c r="D201" s="1"/>
      <c r="E201" s="1"/>
      <c r="F201" s="1"/>
      <c r="G201" s="1"/>
    </row>
    <row r="202" spans="4:7" x14ac:dyDescent="0.2">
      <c r="D202" s="1"/>
      <c r="E202" s="1"/>
      <c r="F202" s="1"/>
      <c r="G202" s="1"/>
    </row>
    <row r="203" spans="4:7" x14ac:dyDescent="0.2">
      <c r="D203" s="1"/>
      <c r="E203" s="1"/>
      <c r="F203" s="1"/>
      <c r="G203" s="1"/>
    </row>
    <row r="204" spans="4:7" x14ac:dyDescent="0.2">
      <c r="D204" s="1"/>
      <c r="E204" s="1"/>
      <c r="F204" s="1"/>
      <c r="G204" s="1"/>
    </row>
    <row r="205" spans="4:7" x14ac:dyDescent="0.2">
      <c r="D205" s="1"/>
      <c r="E205" s="1"/>
      <c r="F205" s="1"/>
      <c r="G205" s="1"/>
    </row>
    <row r="206" spans="4:7" x14ac:dyDescent="0.2">
      <c r="D206" s="1"/>
      <c r="E206" s="1"/>
      <c r="F206" s="1"/>
      <c r="G206" s="1"/>
    </row>
    <row r="207" spans="4:7" x14ac:dyDescent="0.2">
      <c r="D207" s="1"/>
      <c r="E207" s="1"/>
      <c r="F207" s="1"/>
      <c r="G207" s="1"/>
    </row>
    <row r="208" spans="4:7" x14ac:dyDescent="0.2">
      <c r="D208" s="1"/>
      <c r="E208" s="1"/>
      <c r="F208" s="1"/>
      <c r="G208" s="1"/>
    </row>
    <row r="209" spans="4:7" x14ac:dyDescent="0.2">
      <c r="D209" s="1"/>
      <c r="E209" s="1"/>
      <c r="F209" s="1"/>
      <c r="G209" s="1"/>
    </row>
    <row r="210" spans="4:7" x14ac:dyDescent="0.2">
      <c r="D210" s="1"/>
      <c r="E210" s="1"/>
      <c r="F210" s="1"/>
      <c r="G210" s="1"/>
    </row>
    <row r="211" spans="4:7" x14ac:dyDescent="0.2">
      <c r="D211" s="1"/>
      <c r="E211" s="1"/>
      <c r="F211" s="1"/>
      <c r="G211" s="1"/>
    </row>
    <row r="212" spans="4:7" x14ac:dyDescent="0.2">
      <c r="D212" s="1"/>
      <c r="E212" s="1"/>
      <c r="F212" s="1"/>
      <c r="G212" s="1"/>
    </row>
    <row r="213" spans="4:7" x14ac:dyDescent="0.2">
      <c r="D213" s="1"/>
      <c r="E213" s="1"/>
      <c r="F213" s="1"/>
      <c r="G213" s="1"/>
    </row>
    <row r="214" spans="4:7" x14ac:dyDescent="0.2">
      <c r="D214" s="1"/>
      <c r="E214" s="1"/>
      <c r="F214" s="1"/>
      <c r="G214" s="1"/>
    </row>
  </sheetData>
  <sheetProtection selectLockedCells="1"/>
  <mergeCells count="30">
    <mergeCell ref="E37:F37"/>
    <mergeCell ref="C6:C7"/>
    <mergeCell ref="H6:H7"/>
    <mergeCell ref="G6:G7"/>
    <mergeCell ref="H2:I2"/>
    <mergeCell ref="C4:D4"/>
    <mergeCell ref="I6:I7"/>
    <mergeCell ref="F6:F7"/>
    <mergeCell ref="D26:D27"/>
    <mergeCell ref="H3:I3"/>
    <mergeCell ref="H4:I4"/>
    <mergeCell ref="C2:D3"/>
    <mergeCell ref="K12:L13"/>
    <mergeCell ref="M12:N13"/>
    <mergeCell ref="B2:B3"/>
    <mergeCell ref="B18:B22"/>
    <mergeCell ref="B23:E23"/>
    <mergeCell ref="B6:B7"/>
    <mergeCell ref="D6:E6"/>
    <mergeCell ref="B12:B15"/>
    <mergeCell ref="B16:B17"/>
    <mergeCell ref="B8:B11"/>
    <mergeCell ref="B26:B27"/>
    <mergeCell ref="B29:B30"/>
    <mergeCell ref="B32:B33"/>
    <mergeCell ref="C32:C35"/>
    <mergeCell ref="D32:I35"/>
    <mergeCell ref="C26:C27"/>
    <mergeCell ref="C29:C30"/>
    <mergeCell ref="D29:D30"/>
  </mergeCells>
  <phoneticPr fontId="19" type="noConversion"/>
  <conditionalFormatting sqref="D26:D27">
    <cfRule type="expression" dxfId="59" priority="34">
      <formula>$D$26="Low Tier 1"</formula>
    </cfRule>
    <cfRule type="expression" dxfId="58" priority="38">
      <formula>$D$26="Low Tier 3"</formula>
    </cfRule>
    <cfRule type="expression" dxfId="57" priority="37">
      <formula>$D$26="High Tier 3"</formula>
    </cfRule>
    <cfRule type="expression" dxfId="56" priority="36">
      <formula>$D$26="Low Tier 2"</formula>
    </cfRule>
    <cfRule type="expression" dxfId="55" priority="35">
      <formula>$D$26="High Tier 2"</formula>
    </cfRule>
    <cfRule type="expression" dxfId="54" priority="32">
      <formula>$D$26="High Tier 1"</formula>
    </cfRule>
  </conditionalFormatting>
  <conditionalFormatting sqref="D29:D30">
    <cfRule type="expression" dxfId="53" priority="5">
      <formula>$D$29="High Tier 1"</formula>
    </cfRule>
    <cfRule type="expression" dxfId="52" priority="6">
      <formula>$D$29="Low Tier 1"</formula>
    </cfRule>
    <cfRule type="expression" dxfId="51" priority="7">
      <formula>$D$29="High Tier 2"</formula>
    </cfRule>
    <cfRule type="expression" dxfId="50" priority="8">
      <formula>$D$29="Low Tier 2"</formula>
    </cfRule>
    <cfRule type="expression" dxfId="49" priority="9">
      <formula>$D$29="High Tier 3"</formula>
    </cfRule>
    <cfRule type="expression" dxfId="48" priority="10">
      <formula>$D$29="Low Tier 3"</formula>
    </cfRule>
  </conditionalFormatting>
  <conditionalFormatting sqref="D32">
    <cfRule type="expression" dxfId="47" priority="19">
      <formula>IF(AND($D$26&lt;&gt;$D$29,$D$26&lt;&gt;"",$D$29&lt;&gt;""),TRUE,FALSE)</formula>
    </cfRule>
  </conditionalFormatting>
  <conditionalFormatting sqref="D37">
    <cfRule type="expression" dxfId="46" priority="41">
      <formula>$D$37="Low Tier 3"</formula>
    </cfRule>
    <cfRule type="expression" dxfId="45" priority="27">
      <formula>$D$37="High Tier 1"</formula>
    </cfRule>
    <cfRule type="expression" dxfId="44" priority="28">
      <formula>$D$37="Low Tier 1"</formula>
    </cfRule>
    <cfRule type="expression" dxfId="43" priority="29">
      <formula>$D$37="High Tier 2"</formula>
    </cfRule>
    <cfRule type="expression" dxfId="42" priority="30">
      <formula>$D$37="Low Tier 2"</formula>
    </cfRule>
    <cfRule type="expression" dxfId="41" priority="31">
      <formula>$D$37="High Tier 3"</formula>
    </cfRule>
  </conditionalFormatting>
  <conditionalFormatting sqref="G37">
    <cfRule type="expression" dxfId="40" priority="2">
      <formula>IF(AND($M$12="No",$D$26=$D$29),TRUE,FALSE)</formula>
    </cfRule>
  </conditionalFormatting>
  <conditionalFormatting sqref="H8:H23">
    <cfRule type="notContainsBlanks" dxfId="39" priority="11">
      <formula>LEN(TRIM(H8))&gt;0</formula>
    </cfRule>
  </conditionalFormatting>
  <conditionalFormatting sqref="H37">
    <cfRule type="expression" dxfId="38" priority="1">
      <formula>IF(OR($M$12="Yes",AND($D$26&lt;&gt;$D$29,$D$26&lt;&gt;"",$D$29&lt;&gt;"")),TRUE,FALSE)</formula>
    </cfRule>
  </conditionalFormatting>
  <conditionalFormatting sqref="H2:I3 C4:D4">
    <cfRule type="notContainsBlanks" dxfId="37" priority="15">
      <formula>LEN(TRIM(C2))&gt;0</formula>
    </cfRule>
  </conditionalFormatting>
  <conditionalFormatting sqref="I3 H4">
    <cfRule type="notContainsBlanks" dxfId="36" priority="17">
      <formula>LEN(TRIM(H3))&gt;0</formula>
    </cfRule>
  </conditionalFormatting>
  <conditionalFormatting sqref="L10">
    <cfRule type="expression" dxfId="31" priority="50">
      <formula>AND(ISNUMBER(SEARCH($H$4,$L$10)),$H$4&lt;&gt;"",$H$4&lt;&gt;"D")</formula>
    </cfRule>
  </conditionalFormatting>
  <conditionalFormatting sqref="M10">
    <cfRule type="expression" dxfId="30" priority="54">
      <formula>AND(ISNUMBER(SEARCH($H$4,$M$10)),$H$4&lt;&gt;"")</formula>
    </cfRule>
  </conditionalFormatting>
  <conditionalFormatting sqref="M12:N13">
    <cfRule type="containsText" dxfId="29" priority="4" operator="containsText" text="Yes">
      <formula>NOT(ISERROR(SEARCH("Yes",M12)))</formula>
    </cfRule>
    <cfRule type="containsText" dxfId="28" priority="3" operator="containsText" text="No">
      <formula>NOT(ISERROR(SEARCH("No",M12)))</formula>
    </cfRule>
  </conditionalFormatting>
  <conditionalFormatting sqref="N10">
    <cfRule type="expression" dxfId="27" priority="55">
      <formula>AND(ISNUMBER(SEARCH($H$4,$N$10)),$H$4&lt;&gt;"")</formula>
    </cfRule>
  </conditionalFormatting>
  <conditionalFormatting sqref="O10">
    <cfRule type="expression" dxfId="26" priority="21">
      <formula>AND(ISNUMBER(SEARCH($H$4,$O$10)),$H$4&lt;&gt;"")</formula>
    </cfRule>
  </conditionalFormatting>
  <dataValidations count="2">
    <dataValidation type="list" allowBlank="1" showInputMessage="1" showErrorMessage="1" sqref="D29:D30 D37" xr:uid="{00000000-0002-0000-0000-000000000000}">
      <formula1>"Low Tier 1, Low Tier 2, Low Tier 3, High Tier 1, High Tier 2, High Tier 3"</formula1>
    </dataValidation>
    <dataValidation type="list" allowBlank="1" showInputMessage="1" showErrorMessage="1" sqref="F8:F22" xr:uid="{BF20B0F9-C8FA-4317-A60B-0FF4016E8161}">
      <formula1>"1, 3"</formula1>
    </dataValidation>
  </dataValidations>
  <pageMargins left="0.7" right="0.7" top="0.75" bottom="0.75" header="0.3" footer="0.3"/>
  <pageSetup paperSize="9" scale="62" orientation="landscape" r:id="rId1"/>
  <extLst>
    <ext xmlns:x14="http://schemas.microsoft.com/office/spreadsheetml/2009/9/main" uri="{78C0D931-6437-407d-A8EE-F0AAD7539E65}">
      <x14:conditionalFormattings>
        <x14:conditionalFormatting xmlns:xm="http://schemas.microsoft.com/office/excel/2006/main">
          <x14:cfRule type="expression" priority="56" id="{C463C649-474C-4A24-8BDB-56694D8FC6F8}">
            <xm:f>AND($H$23&gt;=Sheet1!$C$2,$H$23&lt;=Sheet1!$D$2)</xm:f>
            <x14:dxf>
              <fill>
                <patternFill>
                  <bgColor rgb="FFFFFF00"/>
                </patternFill>
              </fill>
            </x14:dxf>
          </x14:cfRule>
          <xm:sqref>K6</xm:sqref>
        </x14:conditionalFormatting>
        <x14:conditionalFormatting xmlns:xm="http://schemas.microsoft.com/office/excel/2006/main">
          <x14:cfRule type="expression" priority="14" id="{8AE5DBF6-5CC6-4AC9-8091-A16718BF6A28}">
            <xm:f>AND($H$23&gt;=Sheet1!$C$3,$H$23&lt;=Sheet1!$D$3)</xm:f>
            <x14:dxf>
              <fill>
                <patternFill>
                  <bgColor rgb="FFFFFF00"/>
                </patternFill>
              </fill>
            </x14:dxf>
          </x14:cfRule>
          <xm:sqref>K7</xm:sqref>
        </x14:conditionalFormatting>
        <x14:conditionalFormatting xmlns:xm="http://schemas.microsoft.com/office/excel/2006/main">
          <x14:cfRule type="expression" priority="13" id="{3295EBE3-D1AD-4EE3-9EE3-70C3F3655BE8}">
            <xm:f>AND($H$23&gt;=Sheet1!$C$4,$H$23&lt;=Sheet1!$D$4)</xm:f>
            <x14:dxf>
              <fill>
                <patternFill>
                  <bgColor rgb="FFFFFF00"/>
                </patternFill>
              </fill>
            </x14:dxf>
          </x14:cfRule>
          <xm:sqref>K8</xm:sqref>
        </x14:conditionalFormatting>
        <x14:conditionalFormatting xmlns:xm="http://schemas.microsoft.com/office/excel/2006/main">
          <x14:cfRule type="expression" priority="12" id="{D6C13A25-D326-4E44-AB32-AF91F2583AED}">
            <xm:f>AND($H$23&gt;=Sheet1!$C$5,$H$23&lt;=Sheet1!$D$5)</xm:f>
            <x14:dxf>
              <fill>
                <patternFill>
                  <bgColor rgb="FFFFFF00"/>
                </patternFill>
              </fill>
            </x14:dxf>
          </x14:cfRule>
          <xm:sqref>K9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6000000}">
          <x14:formula1>
            <xm:f>AMO!$B$2:$B$171</xm:f>
          </x14:formula1>
          <xm:sqref>C2:D3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36"/>
  <sheetViews>
    <sheetView showGridLines="0" zoomScale="162" workbookViewId="0">
      <selection activeCell="G7" sqref="G7"/>
    </sheetView>
  </sheetViews>
  <sheetFormatPr baseColWidth="10" defaultColWidth="9.1640625" defaultRowHeight="15" x14ac:dyDescent="0.2"/>
  <cols>
    <col min="1" max="1" width="4.1640625" style="140" bestFit="1" customWidth="1"/>
    <col min="2" max="2" width="116.1640625" style="140" customWidth="1"/>
    <col min="3" max="10" width="9.1640625" style="140"/>
    <col min="11" max="11" width="15.1640625" style="140" customWidth="1"/>
    <col min="12" max="12" width="22.5" style="140" customWidth="1"/>
    <col min="13" max="13" width="11.33203125" style="140" customWidth="1"/>
    <col min="14" max="14" width="11.83203125" style="140" customWidth="1"/>
    <col min="15" max="15" width="12.33203125" style="140" customWidth="1"/>
    <col min="16" max="16384" width="9.1640625" style="140"/>
  </cols>
  <sheetData>
    <row r="1" spans="1:11" ht="16" thickBot="1" x14ac:dyDescent="0.25"/>
    <row r="2" spans="1:11" ht="16" x14ac:dyDescent="0.2">
      <c r="A2" s="141" t="s">
        <v>17</v>
      </c>
      <c r="B2" s="142" t="s">
        <v>18</v>
      </c>
    </row>
    <row r="3" spans="1:11" ht="30" x14ac:dyDescent="0.2">
      <c r="A3" s="143">
        <v>1</v>
      </c>
      <c r="B3" s="144" t="s">
        <v>274</v>
      </c>
    </row>
    <row r="4" spans="1:11" x14ac:dyDescent="0.2">
      <c r="A4" s="143">
        <v>2</v>
      </c>
      <c r="B4" s="144" t="s">
        <v>293</v>
      </c>
    </row>
    <row r="5" spans="1:11" x14ac:dyDescent="0.2">
      <c r="A5" s="143">
        <v>3</v>
      </c>
      <c r="B5" s="144" t="s">
        <v>19</v>
      </c>
    </row>
    <row r="6" spans="1:11" x14ac:dyDescent="0.2">
      <c r="A6" s="143">
        <v>4</v>
      </c>
      <c r="B6" s="145" t="s">
        <v>275</v>
      </c>
    </row>
    <row r="7" spans="1:11" ht="16.25" customHeight="1" x14ac:dyDescent="0.2">
      <c r="A7" s="143">
        <v>5</v>
      </c>
      <c r="B7" s="145" t="s">
        <v>276</v>
      </c>
    </row>
    <row r="8" spans="1:11" ht="30" x14ac:dyDescent="0.2">
      <c r="A8" s="143">
        <v>6</v>
      </c>
      <c r="B8" s="145" t="s">
        <v>277</v>
      </c>
    </row>
    <row r="9" spans="1:11" x14ac:dyDescent="0.2">
      <c r="A9" s="143">
        <v>7</v>
      </c>
      <c r="B9" s="145" t="s">
        <v>292</v>
      </c>
    </row>
    <row r="10" spans="1:11" ht="30" x14ac:dyDescent="0.2">
      <c r="A10" s="143">
        <v>8</v>
      </c>
      <c r="B10" s="145" t="s">
        <v>278</v>
      </c>
    </row>
    <row r="11" spans="1:11" x14ac:dyDescent="0.2">
      <c r="A11" s="143">
        <v>9</v>
      </c>
      <c r="B11" s="145" t="s">
        <v>20</v>
      </c>
    </row>
    <row r="12" spans="1:11" x14ac:dyDescent="0.2">
      <c r="A12" s="143">
        <v>10</v>
      </c>
      <c r="B12" s="145" t="s">
        <v>21</v>
      </c>
    </row>
    <row r="13" spans="1:11" x14ac:dyDescent="0.2">
      <c r="A13" s="143">
        <v>11</v>
      </c>
      <c r="B13" s="145" t="s">
        <v>22</v>
      </c>
    </row>
    <row r="14" spans="1:11" ht="16" thickBot="1" x14ac:dyDescent="0.25">
      <c r="A14" s="146">
        <v>12</v>
      </c>
      <c r="B14" s="147" t="s">
        <v>288</v>
      </c>
      <c r="G14" s="148"/>
      <c r="H14" s="148"/>
      <c r="I14" s="148"/>
      <c r="J14" s="148"/>
      <c r="K14" s="148"/>
    </row>
    <row r="15" spans="1:11" x14ac:dyDescent="0.2">
      <c r="A15" s="149"/>
      <c r="B15" s="150"/>
      <c r="G15" s="148"/>
      <c r="H15" s="148"/>
      <c r="I15" s="148"/>
      <c r="J15" s="148"/>
      <c r="K15" s="148"/>
    </row>
    <row r="16" spans="1:11" x14ac:dyDescent="0.2">
      <c r="A16" s="149"/>
      <c r="B16" s="150"/>
      <c r="G16" s="148"/>
      <c r="H16" s="148"/>
      <c r="I16" s="148"/>
      <c r="J16" s="148"/>
      <c r="K16" s="148"/>
    </row>
    <row r="25" spans="10:15" x14ac:dyDescent="0.2">
      <c r="J25" s="225"/>
      <c r="K25" s="226"/>
      <c r="L25" s="224"/>
      <c r="M25" s="224"/>
      <c r="N25" s="224"/>
      <c r="O25" s="224"/>
    </row>
    <row r="26" spans="10:15" x14ac:dyDescent="0.2">
      <c r="J26" s="225"/>
      <c r="K26" s="226"/>
      <c r="L26" s="224"/>
      <c r="M26" s="224"/>
      <c r="N26" s="224"/>
      <c r="O26" s="224"/>
    </row>
    <row r="27" spans="10:15" x14ac:dyDescent="0.2">
      <c r="J27" s="225"/>
      <c r="K27" s="226"/>
      <c r="L27" s="224"/>
      <c r="M27" s="224"/>
      <c r="N27" s="224"/>
      <c r="O27" s="224"/>
    </row>
    <row r="28" spans="10:15" x14ac:dyDescent="0.2">
      <c r="J28" s="225"/>
      <c r="K28" s="226"/>
      <c r="L28" s="224"/>
      <c r="M28" s="224"/>
      <c r="N28" s="224"/>
      <c r="O28" s="224"/>
    </row>
    <row r="29" spans="10:15" x14ac:dyDescent="0.2">
      <c r="J29" s="225"/>
      <c r="K29" s="226"/>
      <c r="L29" s="224"/>
      <c r="M29" s="224"/>
      <c r="N29" s="224"/>
      <c r="O29" s="224"/>
    </row>
    <row r="30" spans="10:15" x14ac:dyDescent="0.2">
      <c r="J30" s="225"/>
      <c r="K30" s="226"/>
      <c r="L30" s="224"/>
      <c r="M30" s="224"/>
      <c r="N30" s="224"/>
      <c r="O30" s="224"/>
    </row>
    <row r="31" spans="10:15" x14ac:dyDescent="0.2">
      <c r="J31" s="225"/>
      <c r="K31" s="226"/>
      <c r="L31" s="224"/>
      <c r="M31" s="224"/>
      <c r="N31" s="224"/>
      <c r="O31" s="224"/>
    </row>
    <row r="32" spans="10:15" x14ac:dyDescent="0.2">
      <c r="J32" s="225"/>
      <c r="K32" s="226"/>
      <c r="L32" s="224"/>
      <c r="M32" s="224"/>
      <c r="N32" s="224"/>
      <c r="O32" s="224"/>
    </row>
    <row r="33" spans="11:15" x14ac:dyDescent="0.2">
      <c r="K33" s="151"/>
      <c r="L33" s="152"/>
      <c r="M33" s="152"/>
      <c r="N33" s="152"/>
      <c r="O33" s="152"/>
    </row>
    <row r="34" spans="11:15" x14ac:dyDescent="0.2">
      <c r="K34" s="151"/>
      <c r="L34" s="152"/>
      <c r="M34" s="152"/>
      <c r="N34" s="153"/>
      <c r="O34" s="152"/>
    </row>
    <row r="35" spans="11:15" x14ac:dyDescent="0.2">
      <c r="K35" s="154"/>
      <c r="L35" s="153"/>
      <c r="M35" s="152"/>
      <c r="N35" s="153"/>
      <c r="O35" s="153"/>
    </row>
    <row r="36" spans="11:15" x14ac:dyDescent="0.2">
      <c r="K36" s="154"/>
      <c r="L36" s="153"/>
      <c r="M36" s="152"/>
      <c r="N36" s="153"/>
      <c r="O36" s="153"/>
    </row>
  </sheetData>
  <sheetProtection sheet="1" selectLockedCells="1"/>
  <mergeCells count="24">
    <mergeCell ref="L25:L26"/>
    <mergeCell ref="M25:M26"/>
    <mergeCell ref="N25:N26"/>
    <mergeCell ref="O25:O26"/>
    <mergeCell ref="L27:L28"/>
    <mergeCell ref="M27:M28"/>
    <mergeCell ref="N27:N28"/>
    <mergeCell ref="O27:O28"/>
    <mergeCell ref="L31:L32"/>
    <mergeCell ref="M31:M32"/>
    <mergeCell ref="N31:N32"/>
    <mergeCell ref="O31:O32"/>
    <mergeCell ref="J25:J26"/>
    <mergeCell ref="J27:J28"/>
    <mergeCell ref="J29:J30"/>
    <mergeCell ref="J31:J32"/>
    <mergeCell ref="K27:K28"/>
    <mergeCell ref="K25:K26"/>
    <mergeCell ref="K31:K32"/>
    <mergeCell ref="K29:K30"/>
    <mergeCell ref="L29:L30"/>
    <mergeCell ref="M29:M30"/>
    <mergeCell ref="N29:N30"/>
    <mergeCell ref="O29:O30"/>
  </mergeCells>
  <conditionalFormatting sqref="H15">
    <cfRule type="expression" dxfId="25" priority="14">
      <formula>"$H$3=$M$14)"</formula>
    </cfRule>
  </conditionalFormatting>
  <conditionalFormatting sqref="K25">
    <cfRule type="expression" dxfId="24" priority="4">
      <formula>AND($G$24&gt;#REF!,$G$24&lt;#REF!)</formula>
    </cfRule>
  </conditionalFormatting>
  <conditionalFormatting sqref="K27:K32">
    <cfRule type="expression" dxfId="23" priority="1">
      <formula>AND($G$24&gt;#REF!,$G$24&lt;#REF!)</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3" id="{8D1A0A9E-BD84-4427-A6FF-569EC5D92AF8}">
            <xm:f>Sheet1!$C$3=$K$14</xm:f>
            <x14:dxf>
              <fill>
                <patternFill>
                  <bgColor rgb="FFFFFF00"/>
                </patternFill>
              </fill>
            </x14:dxf>
          </x14:cfRule>
          <xm:sqref>L33</xm:sqref>
        </x14:conditionalFormatting>
        <x14:conditionalFormatting xmlns:xm="http://schemas.microsoft.com/office/excel/2006/main">
          <x14:cfRule type="expression" priority="39" id="{39C8385E-CDDC-45DA-A003-33C8184A2C36}">
            <xm:f>Sheet1!$C$3=$L$14</xm:f>
            <x14:dxf>
              <fill>
                <patternFill>
                  <bgColor rgb="FFFFFF00"/>
                </patternFill>
              </fill>
            </x14:dxf>
          </x14:cfRule>
          <xm:sqref>M33</xm:sqref>
        </x14:conditionalFormatting>
        <x14:conditionalFormatting xmlns:xm="http://schemas.microsoft.com/office/excel/2006/main">
          <x14:cfRule type="expression" priority="40" id="{16625415-F846-4FDA-9928-E8776F80F00E}">
            <xm:f>Sheet1!$C$3=$L$15</xm:f>
            <x14:dxf>
              <fill>
                <patternFill>
                  <bgColor rgb="FFFFFF00"/>
                </patternFill>
              </fill>
            </x14:dxf>
          </x14:cfRule>
          <xm:sqref>M34</xm:sqref>
        </x14:conditionalFormatting>
        <x14:conditionalFormatting xmlns:xm="http://schemas.microsoft.com/office/excel/2006/main">
          <x14:cfRule type="expression" priority="41" id="{C11F7854-FCAB-4048-83B1-B039DB3EE531}">
            <xm:f>Sheet1!$C$3=$L$16</xm:f>
            <x14:dxf>
              <fill>
                <patternFill>
                  <bgColor rgb="FFFFFF00"/>
                </patternFill>
              </fill>
            </x14:dxf>
          </x14:cfRule>
          <xm:sqref>M35</xm:sqref>
        </x14:conditionalFormatting>
        <x14:conditionalFormatting xmlns:xm="http://schemas.microsoft.com/office/excel/2006/main">
          <x14:cfRule type="expression" priority="42" id="{6B83D931-31DE-4448-8150-5619F11DA150}">
            <xm:f>Sheet1!$C$3=$L$17</xm:f>
            <x14:dxf>
              <fill>
                <patternFill>
                  <bgColor rgb="FFFFFF00"/>
                </patternFill>
              </fill>
            </x14:dxf>
          </x14:cfRule>
          <xm:sqref>M36</xm:sqref>
        </x14:conditionalFormatting>
        <x14:conditionalFormatting xmlns:xm="http://schemas.microsoft.com/office/excel/2006/main">
          <x14:cfRule type="expression" priority="38" id="{FFE7C5E1-1494-4B8E-931F-BF84FCC92330}">
            <xm:f>Sheet1!$C$3=$M$14</xm:f>
            <x14:dxf>
              <fill>
                <patternFill>
                  <bgColor rgb="FFFFFF00"/>
                </patternFill>
              </fill>
            </x14:dxf>
          </x14:cfRule>
          <xm:sqref>N33</xm:sqref>
        </x14:conditionalFormatting>
        <x14:conditionalFormatting xmlns:xm="http://schemas.microsoft.com/office/excel/2006/main">
          <x14:cfRule type="expression" priority="44" id="{C85FCE37-2D80-48DF-9D1F-E1314CF97258}">
            <xm:f>Sheet1!$C$3=$N$14</xm:f>
            <x14:dxf>
              <fill>
                <patternFill>
                  <bgColor rgb="FFFFFF00"/>
                </patternFill>
              </fill>
            </x14:dxf>
          </x14:cfRule>
          <xm:sqref>O33</xm:sqref>
        </x14:conditionalFormatting>
        <x14:conditionalFormatting xmlns:xm="http://schemas.microsoft.com/office/excel/2006/main">
          <x14:cfRule type="expression" priority="45" id="{BBBB28AD-9AC2-4916-A2AF-F50F9E8F315D}">
            <xm:f>Sheet1!$C$3=$N$15</xm:f>
            <x14:dxf>
              <fill>
                <patternFill>
                  <bgColor rgb="FFFFFF00"/>
                </patternFill>
              </fill>
            </x14:dxf>
          </x14:cfRule>
          <xm:sqref>O34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6AC2-091A-47F4-9FF7-532A1D2031B0}">
  <dimension ref="B2:D8"/>
  <sheetViews>
    <sheetView showGridLines="0" workbookViewId="0">
      <selection activeCell="H6" sqref="H6"/>
    </sheetView>
  </sheetViews>
  <sheetFormatPr baseColWidth="10" defaultColWidth="9.1640625" defaultRowHeight="15" x14ac:dyDescent="0.2"/>
  <cols>
    <col min="1" max="2" width="9.1640625" style="43"/>
    <col min="3" max="3" width="9.6640625" style="43" bestFit="1" customWidth="1"/>
    <col min="4" max="4" width="100.6640625" style="43" customWidth="1"/>
    <col min="5" max="16384" width="9.1640625" style="43"/>
  </cols>
  <sheetData>
    <row r="2" spans="2:4" ht="30" customHeight="1" x14ac:dyDescent="0.2">
      <c r="B2" s="227" t="s">
        <v>399</v>
      </c>
      <c r="C2" s="228"/>
      <c r="D2" s="229"/>
    </row>
    <row r="3" spans="2:4" ht="30" customHeight="1" x14ac:dyDescent="0.2">
      <c r="B3" s="161" t="s">
        <v>400</v>
      </c>
      <c r="C3" s="85" t="s">
        <v>401</v>
      </c>
      <c r="D3" s="85" t="s">
        <v>402</v>
      </c>
    </row>
    <row r="4" spans="2:4" ht="30" customHeight="1" x14ac:dyDescent="0.2">
      <c r="B4" s="85">
        <v>1</v>
      </c>
      <c r="C4" s="162"/>
      <c r="D4" s="105" t="s">
        <v>403</v>
      </c>
    </row>
    <row r="5" spans="2:4" ht="30" customHeight="1" x14ac:dyDescent="0.2">
      <c r="B5" s="85">
        <v>2</v>
      </c>
      <c r="C5" s="162">
        <v>44837</v>
      </c>
      <c r="D5" s="105" t="s">
        <v>404</v>
      </c>
    </row>
    <row r="6" spans="2:4" ht="140" customHeight="1" x14ac:dyDescent="0.2">
      <c r="B6" s="85">
        <v>3</v>
      </c>
      <c r="C6" s="162">
        <v>45146</v>
      </c>
      <c r="D6" s="163" t="s">
        <v>550</v>
      </c>
    </row>
    <row r="7" spans="2:4" ht="30" customHeight="1" x14ac:dyDescent="0.2">
      <c r="B7" s="85">
        <v>4</v>
      </c>
      <c r="C7" s="162">
        <v>45510</v>
      </c>
      <c r="D7" s="163" t="s">
        <v>587</v>
      </c>
    </row>
    <row r="8" spans="2:4" ht="30" customHeight="1" x14ac:dyDescent="0.2">
      <c r="B8" s="85">
        <v>5</v>
      </c>
      <c r="C8" s="162">
        <v>45875</v>
      </c>
      <c r="D8" s="163" t="s">
        <v>587</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71"/>
  <sheetViews>
    <sheetView showGridLines="0" workbookViewId="0">
      <selection activeCell="G10" sqref="G10"/>
    </sheetView>
  </sheetViews>
  <sheetFormatPr baseColWidth="10" defaultColWidth="9.1640625" defaultRowHeight="15" x14ac:dyDescent="0.2"/>
  <cols>
    <col min="1" max="1" width="9.1640625" style="48"/>
    <col min="2" max="2" width="73.5" style="68" bestFit="1" customWidth="1"/>
    <col min="3" max="3" width="9.5" style="3" bestFit="1" customWidth="1"/>
    <col min="4" max="4" width="18.5" style="3" bestFit="1" customWidth="1"/>
    <col min="5" max="5" width="15.5" style="3" bestFit="1" customWidth="1"/>
    <col min="6" max="6" width="30.6640625" style="3" customWidth="1"/>
    <col min="7" max="7" width="100.6640625" style="3" customWidth="1"/>
    <col min="8" max="16384" width="9.1640625" style="43"/>
  </cols>
  <sheetData>
    <row r="1" spans="1:7" x14ac:dyDescent="0.2">
      <c r="A1" s="168" t="s">
        <v>17</v>
      </c>
      <c r="B1" s="168" t="s">
        <v>47</v>
      </c>
      <c r="C1" s="168" t="s">
        <v>48</v>
      </c>
      <c r="D1" s="167" t="s">
        <v>319</v>
      </c>
      <c r="E1" s="165" t="s">
        <v>279</v>
      </c>
      <c r="F1" s="165" t="s">
        <v>46</v>
      </c>
      <c r="G1" s="166" t="s">
        <v>485</v>
      </c>
    </row>
    <row r="2" spans="1:7" x14ac:dyDescent="0.2">
      <c r="A2" s="85">
        <v>1</v>
      </c>
      <c r="B2" s="105" t="s">
        <v>551</v>
      </c>
      <c r="C2" s="85" t="s">
        <v>254</v>
      </c>
      <c r="D2" s="94" t="str">
        <f t="shared" ref="D2:D34" si="0">IF(ISNUMBER(SEARCH("A1BM",$G2)),"A1 (BM)",IF(ISNUMBER(SEARCH("A2",$G2)),"A2",IF(ISNUMBER(SEARCH("B",$G2)),"B",IF(AND(ISNUMBER(SEARCH("C",$G2)),LEN($G2)-LEN(SUBSTITUTE($G2,"C",""))&gt;=5),"C ≥ 5",IF(ISNUMBER(SEARCH("A1LM",$G2)),"A1 (LM)",IF(AND(ISNUMBER(SEARCH("C",$G2)),LEN($G2)-LEN(SUBSTITUTE($G2,"C",""))&lt;5),"C &lt; 5",IF(ISNUMBER(SEARCH("MD",$G2)),"MD",IF(ISNUMBER(SEARCH("D",$G2)),"D"))))))))</f>
        <v>C ≥ 5</v>
      </c>
      <c r="E2" s="91">
        <v>46234</v>
      </c>
      <c r="F2" s="85" t="s">
        <v>542</v>
      </c>
      <c r="G2" s="86" t="s">
        <v>583</v>
      </c>
    </row>
    <row r="3" spans="1:7" x14ac:dyDescent="0.2">
      <c r="A3" s="85">
        <v>2</v>
      </c>
      <c r="B3" s="105" t="s">
        <v>405</v>
      </c>
      <c r="C3" s="85" t="s">
        <v>60</v>
      </c>
      <c r="D3" s="94" t="str">
        <f t="shared" si="0"/>
        <v>D</v>
      </c>
      <c r="E3" s="91">
        <v>45930</v>
      </c>
      <c r="F3" s="85" t="s">
        <v>541</v>
      </c>
      <c r="G3" s="86" t="s">
        <v>486</v>
      </c>
    </row>
    <row r="4" spans="1:7" x14ac:dyDescent="0.2">
      <c r="A4" s="85">
        <v>3</v>
      </c>
      <c r="B4" s="105" t="s">
        <v>63</v>
      </c>
      <c r="C4" s="85" t="s">
        <v>472</v>
      </c>
      <c r="D4" s="94" t="str">
        <f t="shared" si="0"/>
        <v>A1 (LM)</v>
      </c>
      <c r="E4" s="91">
        <v>46173</v>
      </c>
      <c r="F4" s="85" t="s">
        <v>543</v>
      </c>
      <c r="G4" s="86" t="s">
        <v>487</v>
      </c>
    </row>
    <row r="5" spans="1:7" x14ac:dyDescent="0.2">
      <c r="A5" s="85">
        <v>4</v>
      </c>
      <c r="B5" s="105" t="s">
        <v>65</v>
      </c>
      <c r="C5" s="85" t="s">
        <v>66</v>
      </c>
      <c r="D5" s="94" t="str">
        <f t="shared" si="0"/>
        <v>C &lt; 5</v>
      </c>
      <c r="E5" s="91">
        <v>45961</v>
      </c>
      <c r="F5" s="85" t="s">
        <v>541</v>
      </c>
      <c r="G5" s="86" t="s">
        <v>488</v>
      </c>
    </row>
    <row r="6" spans="1:7" x14ac:dyDescent="0.2">
      <c r="A6" s="85">
        <v>5</v>
      </c>
      <c r="B6" s="105" t="s">
        <v>406</v>
      </c>
      <c r="C6" s="85" t="s">
        <v>62</v>
      </c>
      <c r="D6" s="94" t="str">
        <f t="shared" si="0"/>
        <v>C &lt; 5</v>
      </c>
      <c r="E6" s="91">
        <v>46234</v>
      </c>
      <c r="F6" s="85" t="s">
        <v>43</v>
      </c>
      <c r="G6" s="86" t="s">
        <v>489</v>
      </c>
    </row>
    <row r="7" spans="1:7" x14ac:dyDescent="0.2">
      <c r="A7" s="85">
        <v>6</v>
      </c>
      <c r="B7" s="105" t="s">
        <v>407</v>
      </c>
      <c r="C7" s="85" t="s">
        <v>67</v>
      </c>
      <c r="D7" s="94" t="str">
        <f t="shared" si="0"/>
        <v>A1 (LM)</v>
      </c>
      <c r="E7" s="91">
        <v>45991</v>
      </c>
      <c r="F7" s="85" t="s">
        <v>542</v>
      </c>
      <c r="G7" s="86" t="s">
        <v>487</v>
      </c>
    </row>
    <row r="8" spans="1:7" x14ac:dyDescent="0.2">
      <c r="A8" s="85">
        <v>7</v>
      </c>
      <c r="B8" s="105" t="s">
        <v>408</v>
      </c>
      <c r="C8" s="85" t="s">
        <v>70</v>
      </c>
      <c r="D8" s="94" t="str">
        <f t="shared" si="0"/>
        <v>A1 (LM)</v>
      </c>
      <c r="E8" s="91">
        <v>45991</v>
      </c>
      <c r="F8" s="85" t="s">
        <v>541</v>
      </c>
      <c r="G8" s="86" t="s">
        <v>487</v>
      </c>
    </row>
    <row r="9" spans="1:7" x14ac:dyDescent="0.2">
      <c r="A9" s="85">
        <v>8</v>
      </c>
      <c r="B9" s="105" t="s">
        <v>579</v>
      </c>
      <c r="C9" s="85" t="s">
        <v>578</v>
      </c>
      <c r="D9" s="94" t="str">
        <f t="shared" si="0"/>
        <v>A1 (BM)</v>
      </c>
      <c r="E9" s="91">
        <v>46234</v>
      </c>
      <c r="F9" s="85" t="s">
        <v>43</v>
      </c>
      <c r="G9" s="86" t="s">
        <v>585</v>
      </c>
    </row>
    <row r="10" spans="1:7" x14ac:dyDescent="0.2">
      <c r="A10" s="85">
        <v>9</v>
      </c>
      <c r="B10" s="105" t="s">
        <v>409</v>
      </c>
      <c r="C10" s="85" t="s">
        <v>71</v>
      </c>
      <c r="D10" s="94" t="str">
        <f t="shared" si="0"/>
        <v>A1 (LM)</v>
      </c>
      <c r="E10" s="91">
        <v>46081</v>
      </c>
      <c r="F10" s="85" t="s">
        <v>39</v>
      </c>
      <c r="G10" s="86" t="s">
        <v>487</v>
      </c>
    </row>
    <row r="11" spans="1:7" x14ac:dyDescent="0.2">
      <c r="A11" s="85">
        <v>10</v>
      </c>
      <c r="B11" s="105" t="s">
        <v>72</v>
      </c>
      <c r="C11" s="85" t="s">
        <v>73</v>
      </c>
      <c r="D11" s="94" t="str">
        <f t="shared" si="0"/>
        <v>C &lt; 5</v>
      </c>
      <c r="E11" s="91">
        <v>46022</v>
      </c>
      <c r="F11" s="85" t="s">
        <v>541</v>
      </c>
      <c r="G11" s="86" t="s">
        <v>490</v>
      </c>
    </row>
    <row r="12" spans="1:7" x14ac:dyDescent="0.2">
      <c r="A12" s="85">
        <v>11</v>
      </c>
      <c r="B12" s="105" t="s">
        <v>286</v>
      </c>
      <c r="C12" s="85" t="s">
        <v>74</v>
      </c>
      <c r="D12" s="94" t="str">
        <f t="shared" si="0"/>
        <v>C &lt; 5</v>
      </c>
      <c r="E12" s="91">
        <v>46173</v>
      </c>
      <c r="F12" s="85" t="s">
        <v>43</v>
      </c>
      <c r="G12" s="86" t="s">
        <v>491</v>
      </c>
    </row>
    <row r="13" spans="1:7" x14ac:dyDescent="0.2">
      <c r="A13" s="85">
        <v>12</v>
      </c>
      <c r="B13" s="105" t="s">
        <v>75</v>
      </c>
      <c r="C13" s="85" t="s">
        <v>76</v>
      </c>
      <c r="D13" s="94" t="str">
        <f t="shared" si="0"/>
        <v>C ≥ 5</v>
      </c>
      <c r="E13" s="91">
        <v>46081</v>
      </c>
      <c r="F13" s="85" t="s">
        <v>544</v>
      </c>
      <c r="G13" s="86" t="s">
        <v>492</v>
      </c>
    </row>
    <row r="14" spans="1:7" x14ac:dyDescent="0.2">
      <c r="A14" s="85">
        <v>13</v>
      </c>
      <c r="B14" s="105" t="s">
        <v>77</v>
      </c>
      <c r="C14" s="85" t="s">
        <v>78</v>
      </c>
      <c r="D14" s="94" t="str">
        <f t="shared" si="0"/>
        <v>A1 (LM)</v>
      </c>
      <c r="E14" s="91">
        <v>45930</v>
      </c>
      <c r="F14" s="85" t="s">
        <v>541</v>
      </c>
      <c r="G14" s="86" t="s">
        <v>487</v>
      </c>
    </row>
    <row r="15" spans="1:7" x14ac:dyDescent="0.2">
      <c r="A15" s="85">
        <v>14</v>
      </c>
      <c r="B15" s="105" t="s">
        <v>410</v>
      </c>
      <c r="C15" s="85" t="s">
        <v>473</v>
      </c>
      <c r="D15" s="94" t="str">
        <f t="shared" si="0"/>
        <v>A1 (LM)</v>
      </c>
      <c r="E15" s="91">
        <v>45991</v>
      </c>
      <c r="F15" s="85" t="s">
        <v>628</v>
      </c>
      <c r="G15" s="86" t="s">
        <v>487</v>
      </c>
    </row>
    <row r="16" spans="1:7" x14ac:dyDescent="0.2">
      <c r="A16" s="85">
        <v>15</v>
      </c>
      <c r="B16" s="105" t="s">
        <v>553</v>
      </c>
      <c r="C16" s="85" t="s">
        <v>316</v>
      </c>
      <c r="D16" s="94" t="str">
        <f t="shared" si="0"/>
        <v>C ≥ 5</v>
      </c>
      <c r="E16" s="91">
        <v>46203</v>
      </c>
      <c r="F16" s="85" t="s">
        <v>39</v>
      </c>
      <c r="G16" s="86" t="s">
        <v>617</v>
      </c>
    </row>
    <row r="17" spans="1:7" x14ac:dyDescent="0.2">
      <c r="A17" s="85">
        <v>16</v>
      </c>
      <c r="B17" s="105" t="s">
        <v>79</v>
      </c>
      <c r="C17" s="85" t="s">
        <v>80</v>
      </c>
      <c r="D17" s="94" t="str">
        <f t="shared" si="0"/>
        <v>C &lt; 5</v>
      </c>
      <c r="E17" s="91">
        <v>46173</v>
      </c>
      <c r="F17" s="85" t="s">
        <v>544</v>
      </c>
      <c r="G17" s="86" t="s">
        <v>490</v>
      </c>
    </row>
    <row r="18" spans="1:7" x14ac:dyDescent="0.2">
      <c r="A18" s="85">
        <v>17</v>
      </c>
      <c r="B18" s="105" t="s">
        <v>411</v>
      </c>
      <c r="C18" s="85" t="s">
        <v>81</v>
      </c>
      <c r="D18" s="94" t="str">
        <f t="shared" si="0"/>
        <v>C &lt; 5</v>
      </c>
      <c r="E18" s="91">
        <v>45961</v>
      </c>
      <c r="F18" s="85" t="s">
        <v>37</v>
      </c>
      <c r="G18" s="86" t="s">
        <v>493</v>
      </c>
    </row>
    <row r="19" spans="1:7" x14ac:dyDescent="0.2">
      <c r="A19" s="85">
        <v>18</v>
      </c>
      <c r="B19" s="105" t="s">
        <v>82</v>
      </c>
      <c r="C19" s="85" t="s">
        <v>83</v>
      </c>
      <c r="D19" s="94" t="str">
        <f t="shared" si="0"/>
        <v>A1 (LM)</v>
      </c>
      <c r="E19" s="91">
        <v>46112</v>
      </c>
      <c r="F19" s="85" t="s">
        <v>44</v>
      </c>
      <c r="G19" s="86" t="s">
        <v>487</v>
      </c>
    </row>
    <row r="20" spans="1:7" x14ac:dyDescent="0.2">
      <c r="A20" s="85">
        <v>18</v>
      </c>
      <c r="B20" s="169" t="s">
        <v>632</v>
      </c>
      <c r="C20" s="85" t="s">
        <v>633</v>
      </c>
      <c r="D20" s="94" t="str">
        <f t="shared" si="0"/>
        <v>D</v>
      </c>
      <c r="E20" s="91">
        <v>46234</v>
      </c>
      <c r="F20" s="85" t="s">
        <v>43</v>
      </c>
      <c r="G20" s="86" t="s">
        <v>486</v>
      </c>
    </row>
    <row r="21" spans="1:7" x14ac:dyDescent="0.2">
      <c r="A21" s="85">
        <v>19</v>
      </c>
      <c r="B21" s="105" t="s">
        <v>84</v>
      </c>
      <c r="C21" s="85" t="s">
        <v>85</v>
      </c>
      <c r="D21" s="94" t="str">
        <f t="shared" si="0"/>
        <v>C ≥ 5</v>
      </c>
      <c r="E21" s="91">
        <v>45930</v>
      </c>
      <c r="F21" s="85" t="s">
        <v>39</v>
      </c>
      <c r="G21" s="86" t="s">
        <v>618</v>
      </c>
    </row>
    <row r="22" spans="1:7" x14ac:dyDescent="0.2">
      <c r="A22" s="85">
        <v>20</v>
      </c>
      <c r="B22" s="105" t="s">
        <v>588</v>
      </c>
      <c r="C22" s="85" t="s">
        <v>603</v>
      </c>
      <c r="D22" s="94" t="str">
        <f t="shared" si="0"/>
        <v>C &lt; 5</v>
      </c>
      <c r="E22" s="91">
        <v>46053</v>
      </c>
      <c r="F22" s="85" t="s">
        <v>543</v>
      </c>
      <c r="G22" s="86" t="s">
        <v>619</v>
      </c>
    </row>
    <row r="23" spans="1:7" x14ac:dyDescent="0.2">
      <c r="A23" s="85">
        <v>21</v>
      </c>
      <c r="B23" s="105" t="s">
        <v>412</v>
      </c>
      <c r="C23" s="85" t="s">
        <v>86</v>
      </c>
      <c r="D23" s="94" t="str">
        <f t="shared" si="0"/>
        <v>C ≥ 5</v>
      </c>
      <c r="E23" s="91">
        <v>46203</v>
      </c>
      <c r="F23" s="85" t="s">
        <v>541</v>
      </c>
      <c r="G23" s="86" t="s">
        <v>581</v>
      </c>
    </row>
    <row r="24" spans="1:7" x14ac:dyDescent="0.2">
      <c r="A24" s="85">
        <v>22</v>
      </c>
      <c r="B24" s="105" t="s">
        <v>87</v>
      </c>
      <c r="C24" s="85" t="s">
        <v>88</v>
      </c>
      <c r="D24" s="94" t="str">
        <f t="shared" si="0"/>
        <v>A1 (LM)</v>
      </c>
      <c r="E24" s="91">
        <v>46173</v>
      </c>
      <c r="F24" s="85" t="s">
        <v>542</v>
      </c>
      <c r="G24" s="86" t="s">
        <v>487</v>
      </c>
    </row>
    <row r="25" spans="1:7" x14ac:dyDescent="0.2">
      <c r="A25" s="85">
        <v>23</v>
      </c>
      <c r="B25" s="105" t="s">
        <v>413</v>
      </c>
      <c r="C25" s="85" t="s">
        <v>89</v>
      </c>
      <c r="D25" s="94" t="str">
        <f t="shared" si="0"/>
        <v>C &lt; 5</v>
      </c>
      <c r="E25" s="91">
        <v>46173</v>
      </c>
      <c r="F25" s="85" t="s">
        <v>37</v>
      </c>
      <c r="G25" s="86" t="s">
        <v>494</v>
      </c>
    </row>
    <row r="26" spans="1:7" x14ac:dyDescent="0.2">
      <c r="A26" s="85">
        <v>24</v>
      </c>
      <c r="B26" s="105" t="s">
        <v>573</v>
      </c>
      <c r="C26" s="85" t="s">
        <v>572</v>
      </c>
      <c r="D26" s="94" t="str">
        <f t="shared" si="0"/>
        <v>C &lt; 5</v>
      </c>
      <c r="E26" s="91">
        <v>46203</v>
      </c>
      <c r="F26" s="85" t="s">
        <v>628</v>
      </c>
      <c r="G26" s="86" t="s">
        <v>499</v>
      </c>
    </row>
    <row r="27" spans="1:7" x14ac:dyDescent="0.2">
      <c r="A27" s="85">
        <v>25</v>
      </c>
      <c r="B27" s="105" t="s">
        <v>90</v>
      </c>
      <c r="C27" s="85" t="s">
        <v>91</v>
      </c>
      <c r="D27" s="94" t="str">
        <f t="shared" si="0"/>
        <v>C ≥ 5</v>
      </c>
      <c r="E27" s="91">
        <v>45930</v>
      </c>
      <c r="F27" s="85" t="s">
        <v>542</v>
      </c>
      <c r="G27" s="86" t="s">
        <v>495</v>
      </c>
    </row>
    <row r="28" spans="1:7" x14ac:dyDescent="0.2">
      <c r="A28" s="85">
        <v>26</v>
      </c>
      <c r="B28" s="105" t="s">
        <v>92</v>
      </c>
      <c r="C28" s="85" t="s">
        <v>93</v>
      </c>
      <c r="D28" s="94" t="str">
        <f t="shared" si="0"/>
        <v>A1 (BM)</v>
      </c>
      <c r="E28" s="91">
        <v>46203</v>
      </c>
      <c r="F28" s="85" t="s">
        <v>543</v>
      </c>
      <c r="G28" s="86" t="s">
        <v>496</v>
      </c>
    </row>
    <row r="29" spans="1:7" x14ac:dyDescent="0.2">
      <c r="A29" s="85">
        <v>27</v>
      </c>
      <c r="B29" s="105" t="s">
        <v>94</v>
      </c>
      <c r="C29" s="85" t="s">
        <v>95</v>
      </c>
      <c r="D29" s="94" t="str">
        <f t="shared" si="0"/>
        <v>A1 (BM)</v>
      </c>
      <c r="E29" s="91">
        <v>45961</v>
      </c>
      <c r="F29" s="85" t="s">
        <v>543</v>
      </c>
      <c r="G29" s="86" t="s">
        <v>497</v>
      </c>
    </row>
    <row r="30" spans="1:7" x14ac:dyDescent="0.2">
      <c r="A30" s="85">
        <v>28</v>
      </c>
      <c r="B30" s="105" t="s">
        <v>96</v>
      </c>
      <c r="C30" s="85" t="s">
        <v>97</v>
      </c>
      <c r="D30" s="94" t="str">
        <f t="shared" si="0"/>
        <v>C &lt; 5</v>
      </c>
      <c r="E30" s="91">
        <v>45991</v>
      </c>
      <c r="F30" s="85" t="s">
        <v>39</v>
      </c>
      <c r="G30" s="86" t="s">
        <v>498</v>
      </c>
    </row>
    <row r="31" spans="1:7" x14ac:dyDescent="0.2">
      <c r="A31" s="85">
        <v>29</v>
      </c>
      <c r="B31" s="105" t="s">
        <v>305</v>
      </c>
      <c r="C31" s="85" t="s">
        <v>312</v>
      </c>
      <c r="D31" s="94" t="str">
        <f t="shared" si="0"/>
        <v>C &lt; 5</v>
      </c>
      <c r="E31" s="91">
        <v>46053</v>
      </c>
      <c r="F31" s="85" t="s">
        <v>39</v>
      </c>
      <c r="G31" s="86" t="s">
        <v>498</v>
      </c>
    </row>
    <row r="32" spans="1:7" x14ac:dyDescent="0.2">
      <c r="A32" s="85">
        <v>30</v>
      </c>
      <c r="B32" s="105" t="s">
        <v>414</v>
      </c>
      <c r="C32" s="85" t="s">
        <v>98</v>
      </c>
      <c r="D32" s="94" t="str">
        <f t="shared" si="0"/>
        <v>A1 (LM)</v>
      </c>
      <c r="E32" s="91">
        <v>46203</v>
      </c>
      <c r="F32" s="85" t="s">
        <v>43</v>
      </c>
      <c r="G32" s="86" t="s">
        <v>487</v>
      </c>
    </row>
    <row r="33" spans="1:7" x14ac:dyDescent="0.2">
      <c r="A33" s="85">
        <v>31</v>
      </c>
      <c r="B33" s="105" t="s">
        <v>415</v>
      </c>
      <c r="C33" s="85" t="s">
        <v>59</v>
      </c>
      <c r="D33" s="94" t="str">
        <f t="shared" si="0"/>
        <v>C &lt; 5</v>
      </c>
      <c r="E33" s="91">
        <v>46112</v>
      </c>
      <c r="F33" s="85" t="s">
        <v>542</v>
      </c>
      <c r="G33" s="86" t="s">
        <v>499</v>
      </c>
    </row>
    <row r="34" spans="1:7" x14ac:dyDescent="0.2">
      <c r="A34" s="85">
        <v>32</v>
      </c>
      <c r="B34" s="105" t="s">
        <v>577</v>
      </c>
      <c r="C34" s="85" t="s">
        <v>576</v>
      </c>
      <c r="D34" s="94" t="str">
        <f t="shared" si="0"/>
        <v>A1 (LM)</v>
      </c>
      <c r="E34" s="91">
        <v>46203</v>
      </c>
      <c r="F34" s="85" t="s">
        <v>628</v>
      </c>
      <c r="G34" s="86" t="s">
        <v>487</v>
      </c>
    </row>
    <row r="35" spans="1:7" x14ac:dyDescent="0.2">
      <c r="A35" s="85">
        <v>33</v>
      </c>
      <c r="B35" s="105" t="s">
        <v>416</v>
      </c>
      <c r="C35" s="85" t="s">
        <v>99</v>
      </c>
      <c r="D35" s="94" t="str">
        <f t="shared" ref="D35:D66" si="1">IF(ISNUMBER(SEARCH("A1BM",$G35)),"A1 (BM)",IF(ISNUMBER(SEARCH("A2",$G35)),"A2",IF(ISNUMBER(SEARCH("B",$G35)),"B",IF(AND(ISNUMBER(SEARCH("C",$G35)),LEN($G35)-LEN(SUBSTITUTE($G35,"C",""))&gt;=5),"C ≥ 5",IF(ISNUMBER(SEARCH("A1LM",$G35)),"A1 (LM)",IF(AND(ISNUMBER(SEARCH("C",$G35)),LEN($G35)-LEN(SUBSTITUTE($G35,"C",""))&lt;5),"C &lt; 5",IF(ISNUMBER(SEARCH("MD",$G35)),"MD",IF(ISNUMBER(SEARCH("D",$G35)),"D"))))))))</f>
        <v>A1 (LM)</v>
      </c>
      <c r="E35" s="91">
        <v>45900</v>
      </c>
      <c r="F35" s="85" t="s">
        <v>586</v>
      </c>
      <c r="G35" s="86" t="s">
        <v>487</v>
      </c>
    </row>
    <row r="36" spans="1:7" x14ac:dyDescent="0.2">
      <c r="A36" s="85">
        <v>34</v>
      </c>
      <c r="B36" s="105" t="s">
        <v>102</v>
      </c>
      <c r="C36" s="85" t="s">
        <v>103</v>
      </c>
      <c r="D36" s="94" t="str">
        <f t="shared" si="1"/>
        <v>C &lt; 5</v>
      </c>
      <c r="E36" s="91">
        <v>45900</v>
      </c>
      <c r="F36" s="85" t="s">
        <v>43</v>
      </c>
      <c r="G36" s="86" t="s">
        <v>490</v>
      </c>
    </row>
    <row r="37" spans="1:7" x14ac:dyDescent="0.2">
      <c r="A37" s="85">
        <v>35</v>
      </c>
      <c r="B37" s="105" t="s">
        <v>104</v>
      </c>
      <c r="C37" s="85" t="s">
        <v>105</v>
      </c>
      <c r="D37" s="94" t="str">
        <f t="shared" si="1"/>
        <v>A1 (LM)</v>
      </c>
      <c r="E37" s="91">
        <v>46112</v>
      </c>
      <c r="F37" s="85" t="s">
        <v>541</v>
      </c>
      <c r="G37" s="86" t="s">
        <v>487</v>
      </c>
    </row>
    <row r="38" spans="1:7" x14ac:dyDescent="0.2">
      <c r="A38" s="85">
        <v>36</v>
      </c>
      <c r="B38" s="105" t="s">
        <v>417</v>
      </c>
      <c r="C38" s="85" t="s">
        <v>108</v>
      </c>
      <c r="D38" s="94" t="str">
        <f t="shared" si="1"/>
        <v>C &lt; 5</v>
      </c>
      <c r="E38" s="91">
        <v>46112</v>
      </c>
      <c r="F38" s="85" t="s">
        <v>43</v>
      </c>
      <c r="G38" s="86" t="s">
        <v>500</v>
      </c>
    </row>
    <row r="39" spans="1:7" x14ac:dyDescent="0.2">
      <c r="A39" s="85">
        <v>37</v>
      </c>
      <c r="B39" s="105" t="s">
        <v>109</v>
      </c>
      <c r="C39" s="85" t="s">
        <v>110</v>
      </c>
      <c r="D39" s="94" t="str">
        <f t="shared" si="1"/>
        <v>C &lt; 5</v>
      </c>
      <c r="E39" s="91">
        <v>46142</v>
      </c>
      <c r="F39" s="85" t="s">
        <v>628</v>
      </c>
      <c r="G39" s="86" t="s">
        <v>501</v>
      </c>
    </row>
    <row r="40" spans="1:7" x14ac:dyDescent="0.2">
      <c r="A40" s="85">
        <v>38</v>
      </c>
      <c r="B40" s="105" t="s">
        <v>589</v>
      </c>
      <c r="C40" s="85" t="s">
        <v>604</v>
      </c>
      <c r="D40" s="94" t="str">
        <f t="shared" si="1"/>
        <v>A1 (LM)</v>
      </c>
      <c r="E40" s="91">
        <v>45991</v>
      </c>
      <c r="F40" s="85" t="s">
        <v>38</v>
      </c>
      <c r="G40" s="86" t="s">
        <v>487</v>
      </c>
    </row>
    <row r="41" spans="1:7" x14ac:dyDescent="0.2">
      <c r="A41" s="85">
        <v>39</v>
      </c>
      <c r="B41" s="105" t="s">
        <v>114</v>
      </c>
      <c r="C41" s="85" t="s">
        <v>115</v>
      </c>
      <c r="D41" s="94" t="str">
        <f t="shared" si="1"/>
        <v>A1 (LM)</v>
      </c>
      <c r="E41" s="91">
        <v>46234</v>
      </c>
      <c r="F41" s="85" t="s">
        <v>43</v>
      </c>
      <c r="G41" s="86" t="s">
        <v>487</v>
      </c>
    </row>
    <row r="42" spans="1:7" x14ac:dyDescent="0.2">
      <c r="A42" s="85">
        <v>40</v>
      </c>
      <c r="B42" s="105" t="s">
        <v>590</v>
      </c>
      <c r="C42" s="85" t="s">
        <v>113</v>
      </c>
      <c r="D42" s="94" t="str">
        <f t="shared" si="1"/>
        <v>C &lt; 5</v>
      </c>
      <c r="E42" s="91">
        <v>46022</v>
      </c>
      <c r="F42" s="85" t="s">
        <v>544</v>
      </c>
      <c r="G42" s="86" t="s">
        <v>499</v>
      </c>
    </row>
    <row r="43" spans="1:7" x14ac:dyDescent="0.2">
      <c r="A43" s="85">
        <v>41</v>
      </c>
      <c r="B43" s="105" t="s">
        <v>116</v>
      </c>
      <c r="C43" s="85" t="s">
        <v>117</v>
      </c>
      <c r="D43" s="94" t="str">
        <f t="shared" si="1"/>
        <v>B</v>
      </c>
      <c r="E43" s="91">
        <v>46173</v>
      </c>
      <c r="F43" s="85" t="s">
        <v>38</v>
      </c>
      <c r="G43" s="86" t="s">
        <v>620</v>
      </c>
    </row>
    <row r="44" spans="1:7" x14ac:dyDescent="0.2">
      <c r="A44" s="85">
        <v>42</v>
      </c>
      <c r="B44" s="105" t="s">
        <v>118</v>
      </c>
      <c r="C44" s="85" t="s">
        <v>119</v>
      </c>
      <c r="D44" s="94" t="str">
        <f t="shared" si="1"/>
        <v>A1 (LM)</v>
      </c>
      <c r="E44" s="91">
        <v>46022</v>
      </c>
      <c r="F44" s="85" t="s">
        <v>586</v>
      </c>
      <c r="G44" s="86" t="s">
        <v>487</v>
      </c>
    </row>
    <row r="45" spans="1:7" x14ac:dyDescent="0.2">
      <c r="A45" s="85">
        <v>43</v>
      </c>
      <c r="B45" s="105" t="s">
        <v>571</v>
      </c>
      <c r="C45" s="85" t="s">
        <v>570</v>
      </c>
      <c r="D45" s="94" t="str">
        <f t="shared" si="1"/>
        <v>C &lt; 5</v>
      </c>
      <c r="E45" s="91">
        <v>46173</v>
      </c>
      <c r="F45" s="85" t="s">
        <v>37</v>
      </c>
      <c r="G45" s="86" t="s">
        <v>490</v>
      </c>
    </row>
    <row r="46" spans="1:7" x14ac:dyDescent="0.2">
      <c r="A46" s="85">
        <v>44</v>
      </c>
      <c r="B46" s="105" t="s">
        <v>120</v>
      </c>
      <c r="C46" s="85" t="s">
        <v>121</v>
      </c>
      <c r="D46" s="94" t="str">
        <f t="shared" si="1"/>
        <v>A1 (LM)</v>
      </c>
      <c r="E46" s="91">
        <v>46173</v>
      </c>
      <c r="F46" s="85" t="s">
        <v>44</v>
      </c>
      <c r="G46" s="86" t="s">
        <v>487</v>
      </c>
    </row>
    <row r="47" spans="1:7" x14ac:dyDescent="0.2">
      <c r="A47" s="85">
        <v>45</v>
      </c>
      <c r="B47" s="105" t="s">
        <v>418</v>
      </c>
      <c r="C47" s="85" t="s">
        <v>122</v>
      </c>
      <c r="D47" s="94" t="str">
        <f t="shared" si="1"/>
        <v>C &lt; 5</v>
      </c>
      <c r="E47" s="91">
        <v>45900</v>
      </c>
      <c r="F47" s="85" t="s">
        <v>541</v>
      </c>
      <c r="G47" s="86" t="s">
        <v>503</v>
      </c>
    </row>
    <row r="48" spans="1:7" x14ac:dyDescent="0.2">
      <c r="A48" s="85">
        <v>46</v>
      </c>
      <c r="B48" s="105" t="s">
        <v>419</v>
      </c>
      <c r="C48" s="85" t="s">
        <v>123</v>
      </c>
      <c r="D48" s="94" t="str">
        <f t="shared" si="1"/>
        <v>C &lt; 5</v>
      </c>
      <c r="E48" s="91">
        <v>46112</v>
      </c>
      <c r="F48" s="85" t="s">
        <v>544</v>
      </c>
      <c r="G48" s="86" t="s">
        <v>499</v>
      </c>
    </row>
    <row r="49" spans="1:7" x14ac:dyDescent="0.2">
      <c r="A49" s="85">
        <v>47</v>
      </c>
      <c r="B49" s="105" t="s">
        <v>420</v>
      </c>
      <c r="C49" s="85" t="s">
        <v>474</v>
      </c>
      <c r="D49" s="94" t="str">
        <f t="shared" si="1"/>
        <v>B</v>
      </c>
      <c r="E49" s="91">
        <v>46022</v>
      </c>
      <c r="F49" s="85" t="s">
        <v>586</v>
      </c>
      <c r="G49" s="86" t="s">
        <v>504</v>
      </c>
    </row>
    <row r="50" spans="1:7" x14ac:dyDescent="0.2">
      <c r="A50" s="85">
        <v>48</v>
      </c>
      <c r="B50" s="105" t="s">
        <v>421</v>
      </c>
      <c r="C50" s="85" t="s">
        <v>124</v>
      </c>
      <c r="D50" s="94" t="str">
        <f t="shared" si="1"/>
        <v>A1 (LM)</v>
      </c>
      <c r="E50" s="91">
        <v>46203</v>
      </c>
      <c r="F50" s="85" t="s">
        <v>37</v>
      </c>
      <c r="G50" s="86" t="s">
        <v>505</v>
      </c>
    </row>
    <row r="51" spans="1:7" x14ac:dyDescent="0.2">
      <c r="A51" s="85">
        <v>49</v>
      </c>
      <c r="B51" s="105" t="s">
        <v>591</v>
      </c>
      <c r="C51" s="85" t="s">
        <v>605</v>
      </c>
      <c r="D51" s="94" t="str">
        <f t="shared" si="1"/>
        <v>C &lt; 5</v>
      </c>
      <c r="E51" s="91">
        <v>45930</v>
      </c>
      <c r="F51" s="85" t="s">
        <v>544</v>
      </c>
      <c r="G51" s="86" t="s">
        <v>499</v>
      </c>
    </row>
    <row r="52" spans="1:7" x14ac:dyDescent="0.2">
      <c r="A52" s="85">
        <v>50</v>
      </c>
      <c r="B52" s="105" t="s">
        <v>303</v>
      </c>
      <c r="C52" s="85" t="s">
        <v>310</v>
      </c>
      <c r="D52" s="94" t="str">
        <f t="shared" si="1"/>
        <v>A1 (LM)</v>
      </c>
      <c r="E52" s="91">
        <v>46234</v>
      </c>
      <c r="F52" s="85" t="s">
        <v>541</v>
      </c>
      <c r="G52" s="86" t="s">
        <v>487</v>
      </c>
    </row>
    <row r="53" spans="1:7" x14ac:dyDescent="0.2">
      <c r="A53" s="85">
        <v>51</v>
      </c>
      <c r="B53" s="105" t="s">
        <v>126</v>
      </c>
      <c r="C53" s="85" t="s">
        <v>127</v>
      </c>
      <c r="D53" s="94" t="str">
        <f t="shared" si="1"/>
        <v>D</v>
      </c>
      <c r="E53" s="91">
        <v>46265</v>
      </c>
      <c r="F53" s="85" t="s">
        <v>628</v>
      </c>
      <c r="G53" s="86" t="s">
        <v>35</v>
      </c>
    </row>
    <row r="54" spans="1:7" x14ac:dyDescent="0.2">
      <c r="A54" s="85">
        <v>52</v>
      </c>
      <c r="B54" s="105" t="s">
        <v>575</v>
      </c>
      <c r="C54" s="85" t="s">
        <v>574</v>
      </c>
      <c r="D54" s="94" t="str">
        <f t="shared" si="1"/>
        <v>A1 (LM)</v>
      </c>
      <c r="E54" s="91">
        <v>46173</v>
      </c>
      <c r="F54" s="85" t="s">
        <v>37</v>
      </c>
      <c r="G54" s="86" t="s">
        <v>487</v>
      </c>
    </row>
    <row r="55" spans="1:7" x14ac:dyDescent="0.2">
      <c r="A55" s="85">
        <v>53</v>
      </c>
      <c r="B55" s="105" t="s">
        <v>128</v>
      </c>
      <c r="C55" s="85" t="s">
        <v>129</v>
      </c>
      <c r="D55" s="94" t="str">
        <f t="shared" si="1"/>
        <v>C &lt; 5</v>
      </c>
      <c r="E55" s="91">
        <v>45961</v>
      </c>
      <c r="F55" s="85" t="s">
        <v>628</v>
      </c>
      <c r="G55" s="86" t="s">
        <v>621</v>
      </c>
    </row>
    <row r="56" spans="1:7" x14ac:dyDescent="0.2">
      <c r="A56" s="85">
        <v>54</v>
      </c>
      <c r="B56" s="105" t="s">
        <v>422</v>
      </c>
      <c r="C56" s="85" t="s">
        <v>130</v>
      </c>
      <c r="D56" s="94" t="str">
        <f t="shared" si="1"/>
        <v>C &lt; 5</v>
      </c>
      <c r="E56" s="91">
        <v>46173</v>
      </c>
      <c r="F56" s="85" t="s">
        <v>541</v>
      </c>
      <c r="G56" s="86" t="s">
        <v>490</v>
      </c>
    </row>
    <row r="57" spans="1:7" x14ac:dyDescent="0.2">
      <c r="A57" s="85">
        <v>55</v>
      </c>
      <c r="B57" s="105" t="s">
        <v>423</v>
      </c>
      <c r="C57" s="85" t="s">
        <v>131</v>
      </c>
      <c r="D57" s="94" t="str">
        <f t="shared" si="1"/>
        <v>C &lt; 5</v>
      </c>
      <c r="E57" s="91">
        <v>46295</v>
      </c>
      <c r="F57" s="85" t="s">
        <v>628</v>
      </c>
      <c r="G57" s="86" t="s">
        <v>507</v>
      </c>
    </row>
    <row r="58" spans="1:7" x14ac:dyDescent="0.2">
      <c r="A58" s="85">
        <v>56</v>
      </c>
      <c r="B58" s="105" t="s">
        <v>424</v>
      </c>
      <c r="C58" s="85" t="s">
        <v>132</v>
      </c>
      <c r="D58" s="94" t="str">
        <f t="shared" si="1"/>
        <v>B</v>
      </c>
      <c r="E58" s="91">
        <v>46022</v>
      </c>
      <c r="F58" s="85" t="s">
        <v>38</v>
      </c>
      <c r="G58" s="86" t="s">
        <v>484</v>
      </c>
    </row>
    <row r="59" spans="1:7" x14ac:dyDescent="0.2">
      <c r="A59" s="85">
        <v>57</v>
      </c>
      <c r="B59" s="105" t="s">
        <v>592</v>
      </c>
      <c r="C59" s="85" t="s">
        <v>606</v>
      </c>
      <c r="D59" s="94" t="str">
        <f t="shared" si="1"/>
        <v>C &lt; 5</v>
      </c>
      <c r="E59" s="91">
        <v>46173</v>
      </c>
      <c r="F59" s="85" t="s">
        <v>39</v>
      </c>
      <c r="G59" s="86" t="s">
        <v>490</v>
      </c>
    </row>
    <row r="60" spans="1:7" x14ac:dyDescent="0.2">
      <c r="A60" s="85">
        <v>58</v>
      </c>
      <c r="B60" s="105" t="s">
        <v>593</v>
      </c>
      <c r="C60" s="85" t="s">
        <v>607</v>
      </c>
      <c r="D60" s="94" t="str">
        <f t="shared" si="1"/>
        <v>D</v>
      </c>
      <c r="E60" s="91">
        <v>46203</v>
      </c>
      <c r="F60" s="85" t="s">
        <v>42</v>
      </c>
      <c r="G60" s="86" t="s">
        <v>34</v>
      </c>
    </row>
    <row r="61" spans="1:7" x14ac:dyDescent="0.2">
      <c r="A61" s="85">
        <v>59</v>
      </c>
      <c r="B61" s="105" t="s">
        <v>425</v>
      </c>
      <c r="C61" s="85" t="s">
        <v>475</v>
      </c>
      <c r="D61" s="94" t="str">
        <f t="shared" si="1"/>
        <v>A1 (LM)</v>
      </c>
      <c r="E61" s="91">
        <v>45930</v>
      </c>
      <c r="F61" s="85" t="s">
        <v>43</v>
      </c>
      <c r="G61" s="86" t="s">
        <v>487</v>
      </c>
    </row>
    <row r="62" spans="1:7" x14ac:dyDescent="0.2">
      <c r="A62" s="85">
        <v>60</v>
      </c>
      <c r="B62" s="105" t="s">
        <v>426</v>
      </c>
      <c r="C62" s="85" t="s">
        <v>133</v>
      </c>
      <c r="D62" s="94" t="str">
        <f t="shared" si="1"/>
        <v>C ≥ 5</v>
      </c>
      <c r="E62" s="91">
        <v>45900</v>
      </c>
      <c r="F62" s="85" t="s">
        <v>42</v>
      </c>
      <c r="G62" s="86" t="s">
        <v>508</v>
      </c>
    </row>
    <row r="63" spans="1:7" x14ac:dyDescent="0.2">
      <c r="A63" s="85">
        <v>61</v>
      </c>
      <c r="B63" s="105" t="s">
        <v>427</v>
      </c>
      <c r="C63" s="85" t="s">
        <v>134</v>
      </c>
      <c r="D63" s="94" t="str">
        <f t="shared" si="1"/>
        <v>B</v>
      </c>
      <c r="E63" s="91">
        <v>45930</v>
      </c>
      <c r="F63" s="85" t="s">
        <v>586</v>
      </c>
      <c r="G63" s="86" t="s">
        <v>509</v>
      </c>
    </row>
    <row r="64" spans="1:7" x14ac:dyDescent="0.2">
      <c r="A64" s="85">
        <v>62</v>
      </c>
      <c r="B64" s="105" t="s">
        <v>555</v>
      </c>
      <c r="C64" s="85" t="s">
        <v>554</v>
      </c>
      <c r="D64" s="94" t="str">
        <f t="shared" si="1"/>
        <v>C &lt; 5</v>
      </c>
      <c r="E64" s="91">
        <v>45961</v>
      </c>
      <c r="F64" s="85" t="s">
        <v>39</v>
      </c>
      <c r="G64" s="86" t="s">
        <v>498</v>
      </c>
    </row>
    <row r="65" spans="1:7" x14ac:dyDescent="0.2">
      <c r="A65" s="85">
        <v>63</v>
      </c>
      <c r="B65" s="105" t="s">
        <v>428</v>
      </c>
      <c r="C65" s="85" t="s">
        <v>135</v>
      </c>
      <c r="D65" s="94" t="str">
        <f t="shared" si="1"/>
        <v>C &lt; 5</v>
      </c>
      <c r="E65" s="91">
        <v>46022</v>
      </c>
      <c r="F65" s="85" t="s">
        <v>43</v>
      </c>
      <c r="G65" s="86" t="s">
        <v>510</v>
      </c>
    </row>
    <row r="66" spans="1:7" x14ac:dyDescent="0.2">
      <c r="A66" s="85">
        <v>64</v>
      </c>
      <c r="B66" s="105" t="s">
        <v>136</v>
      </c>
      <c r="C66" s="85" t="s">
        <v>137</v>
      </c>
      <c r="D66" s="94" t="str">
        <f t="shared" si="1"/>
        <v>C &lt; 5</v>
      </c>
      <c r="E66" s="91">
        <v>46173</v>
      </c>
      <c r="F66" s="85" t="s">
        <v>39</v>
      </c>
      <c r="G66" s="86" t="s">
        <v>498</v>
      </c>
    </row>
    <row r="67" spans="1:7" x14ac:dyDescent="0.2">
      <c r="A67" s="85">
        <v>65</v>
      </c>
      <c r="B67" s="105" t="s">
        <v>138</v>
      </c>
      <c r="C67" s="85" t="s">
        <v>139</v>
      </c>
      <c r="D67" s="94" t="str">
        <f t="shared" ref="D67:D99" si="2">IF(ISNUMBER(SEARCH("A1BM",$G67)),"A1 (BM)",IF(ISNUMBER(SEARCH("A2",$G67)),"A2",IF(ISNUMBER(SEARCH("B",$G67)),"B",IF(AND(ISNUMBER(SEARCH("C",$G67)),LEN($G67)-LEN(SUBSTITUTE($G67,"C",""))&gt;=5),"C ≥ 5",IF(ISNUMBER(SEARCH("A1LM",$G67)),"A1 (LM)",IF(AND(ISNUMBER(SEARCH("C",$G67)),LEN($G67)-LEN(SUBSTITUTE($G67,"C",""))&lt;5),"C &lt; 5",IF(ISNUMBER(SEARCH("MD",$G67)),"MD",IF(ISNUMBER(SEARCH("D",$G67)),"D"))))))))</f>
        <v>A1 (LM)</v>
      </c>
      <c r="E67" s="91">
        <v>46203</v>
      </c>
      <c r="F67" s="85" t="s">
        <v>543</v>
      </c>
      <c r="G67" s="86" t="s">
        <v>487</v>
      </c>
    </row>
    <row r="68" spans="1:7" x14ac:dyDescent="0.2">
      <c r="A68" s="85">
        <v>67</v>
      </c>
      <c r="B68" s="105" t="s">
        <v>631</v>
      </c>
      <c r="C68" s="85" t="s">
        <v>630</v>
      </c>
      <c r="D68" s="94" t="str">
        <f t="shared" si="2"/>
        <v>C &lt; 5</v>
      </c>
      <c r="E68" s="91">
        <v>46234</v>
      </c>
      <c r="F68" s="85" t="s">
        <v>44</v>
      </c>
      <c r="G68" t="s">
        <v>499</v>
      </c>
    </row>
    <row r="69" spans="1:7" x14ac:dyDescent="0.2">
      <c r="A69" s="85">
        <v>66</v>
      </c>
      <c r="B69" s="105" t="s">
        <v>429</v>
      </c>
      <c r="C69" s="85" t="s">
        <v>142</v>
      </c>
      <c r="D69" s="94" t="str">
        <f t="shared" si="2"/>
        <v>C &lt; 5</v>
      </c>
      <c r="E69" s="91">
        <v>46234</v>
      </c>
      <c r="F69" s="85" t="s">
        <v>43</v>
      </c>
      <c r="G69" s="86" t="s">
        <v>622</v>
      </c>
    </row>
    <row r="70" spans="1:7" x14ac:dyDescent="0.2">
      <c r="A70" s="85">
        <v>67</v>
      </c>
      <c r="B70" s="105" t="s">
        <v>143</v>
      </c>
      <c r="C70" s="85" t="s">
        <v>144</v>
      </c>
      <c r="D70" s="94" t="str">
        <f t="shared" si="2"/>
        <v>C ≥ 5</v>
      </c>
      <c r="E70" s="91">
        <v>46022</v>
      </c>
      <c r="F70" s="85" t="s">
        <v>544</v>
      </c>
      <c r="G70" s="86" t="s">
        <v>511</v>
      </c>
    </row>
    <row r="71" spans="1:7" x14ac:dyDescent="0.2">
      <c r="A71" s="85">
        <v>68</v>
      </c>
      <c r="B71" s="105" t="s">
        <v>430</v>
      </c>
      <c r="C71" s="85" t="s">
        <v>145</v>
      </c>
      <c r="D71" s="94" t="str">
        <f t="shared" si="2"/>
        <v>B</v>
      </c>
      <c r="E71" s="91">
        <v>46234</v>
      </c>
      <c r="F71" s="85" t="s">
        <v>42</v>
      </c>
      <c r="G71" s="86" t="s">
        <v>504</v>
      </c>
    </row>
    <row r="72" spans="1:7" x14ac:dyDescent="0.2">
      <c r="A72" s="85">
        <v>69</v>
      </c>
      <c r="B72" s="105" t="s">
        <v>431</v>
      </c>
      <c r="C72" s="85" t="s">
        <v>146</v>
      </c>
      <c r="D72" s="94" t="str">
        <f t="shared" si="2"/>
        <v>A1 (LM)</v>
      </c>
      <c r="E72" s="91">
        <v>45930</v>
      </c>
      <c r="F72" s="85" t="s">
        <v>37</v>
      </c>
      <c r="G72" s="86" t="s">
        <v>487</v>
      </c>
    </row>
    <row r="73" spans="1:7" x14ac:dyDescent="0.2">
      <c r="A73" s="85">
        <v>70</v>
      </c>
      <c r="B73" s="105" t="s">
        <v>306</v>
      </c>
      <c r="C73" s="85" t="s">
        <v>313</v>
      </c>
      <c r="D73" s="94" t="str">
        <f t="shared" si="2"/>
        <v>C &lt; 5</v>
      </c>
      <c r="E73" s="91">
        <v>46173</v>
      </c>
      <c r="F73" s="85" t="s">
        <v>628</v>
      </c>
      <c r="G73" s="86" t="s">
        <v>512</v>
      </c>
    </row>
    <row r="74" spans="1:7" x14ac:dyDescent="0.2">
      <c r="A74" s="85">
        <v>71</v>
      </c>
      <c r="B74" s="105" t="s">
        <v>432</v>
      </c>
      <c r="C74" s="85" t="s">
        <v>317</v>
      </c>
      <c r="D74" s="94" t="str">
        <f t="shared" si="2"/>
        <v>C ≥ 5</v>
      </c>
      <c r="E74" s="91">
        <v>46203</v>
      </c>
      <c r="F74" s="85" t="s">
        <v>541</v>
      </c>
      <c r="G74" s="86" t="s">
        <v>513</v>
      </c>
    </row>
    <row r="75" spans="1:7" x14ac:dyDescent="0.2">
      <c r="A75" s="85">
        <v>72</v>
      </c>
      <c r="B75" s="105" t="s">
        <v>147</v>
      </c>
      <c r="C75" s="85" t="s">
        <v>148</v>
      </c>
      <c r="D75" s="94" t="str">
        <f t="shared" si="2"/>
        <v>B</v>
      </c>
      <c r="E75" s="91">
        <v>46053</v>
      </c>
      <c r="F75" s="85" t="s">
        <v>628</v>
      </c>
      <c r="G75" s="86" t="s">
        <v>514</v>
      </c>
    </row>
    <row r="76" spans="1:7" x14ac:dyDescent="0.2">
      <c r="A76" s="85">
        <v>73</v>
      </c>
      <c r="B76" s="105" t="s">
        <v>563</v>
      </c>
      <c r="C76" s="85" t="s">
        <v>562</v>
      </c>
      <c r="D76" s="94" t="str">
        <f t="shared" si="2"/>
        <v>B</v>
      </c>
      <c r="E76" s="91">
        <v>46022</v>
      </c>
      <c r="F76" s="85" t="s">
        <v>44</v>
      </c>
      <c r="G76" s="86" t="s">
        <v>584</v>
      </c>
    </row>
    <row r="77" spans="1:7" x14ac:dyDescent="0.2">
      <c r="A77" s="85">
        <v>74</v>
      </c>
      <c r="B77" s="105" t="s">
        <v>149</v>
      </c>
      <c r="C77" s="85" t="s">
        <v>150</v>
      </c>
      <c r="D77" s="94" t="str">
        <f t="shared" si="2"/>
        <v>A1 (LM)</v>
      </c>
      <c r="E77" s="91">
        <v>45930</v>
      </c>
      <c r="F77" s="85" t="s">
        <v>544</v>
      </c>
      <c r="G77" s="86" t="s">
        <v>487</v>
      </c>
    </row>
    <row r="78" spans="1:7" x14ac:dyDescent="0.2">
      <c r="A78" s="85">
        <v>75</v>
      </c>
      <c r="B78" s="105" t="s">
        <v>433</v>
      </c>
      <c r="C78" s="85" t="s">
        <v>153</v>
      </c>
      <c r="D78" s="94" t="str">
        <f t="shared" si="2"/>
        <v>C &lt; 5</v>
      </c>
      <c r="E78" s="91">
        <v>46142</v>
      </c>
      <c r="F78" s="85" t="s">
        <v>541</v>
      </c>
      <c r="G78" s="86" t="s">
        <v>506</v>
      </c>
    </row>
    <row r="79" spans="1:7" x14ac:dyDescent="0.2">
      <c r="A79" s="85">
        <v>76</v>
      </c>
      <c r="B79" s="105" t="s">
        <v>280</v>
      </c>
      <c r="C79" s="85" t="s">
        <v>283</v>
      </c>
      <c r="D79" s="94" t="str">
        <f t="shared" si="2"/>
        <v>C &lt; 5</v>
      </c>
      <c r="E79" s="91">
        <v>46234</v>
      </c>
      <c r="F79" s="85" t="s">
        <v>37</v>
      </c>
      <c r="G79" s="86" t="s">
        <v>499</v>
      </c>
    </row>
    <row r="80" spans="1:7" x14ac:dyDescent="0.2">
      <c r="A80" s="85">
        <v>77</v>
      </c>
      <c r="B80" s="105" t="s">
        <v>567</v>
      </c>
      <c r="C80" s="85" t="s">
        <v>566</v>
      </c>
      <c r="D80" s="94" t="str">
        <f t="shared" si="2"/>
        <v>A1 (LM)</v>
      </c>
      <c r="E80" s="91">
        <v>46081</v>
      </c>
      <c r="F80" s="85" t="s">
        <v>542</v>
      </c>
      <c r="G80" s="86" t="s">
        <v>487</v>
      </c>
    </row>
    <row r="81" spans="1:7" x14ac:dyDescent="0.2">
      <c r="A81" s="85">
        <v>78</v>
      </c>
      <c r="B81" s="105" t="s">
        <v>434</v>
      </c>
      <c r="C81" s="85" t="s">
        <v>154</v>
      </c>
      <c r="D81" s="94" t="str">
        <f t="shared" si="2"/>
        <v>A1 (LM)</v>
      </c>
      <c r="E81" s="91">
        <v>45991</v>
      </c>
      <c r="F81" s="85" t="s">
        <v>628</v>
      </c>
      <c r="G81" s="86" t="s">
        <v>487</v>
      </c>
    </row>
    <row r="82" spans="1:7" x14ac:dyDescent="0.2">
      <c r="A82" s="85">
        <v>79</v>
      </c>
      <c r="B82" s="105" t="s">
        <v>155</v>
      </c>
      <c r="C82" s="85" t="s">
        <v>284</v>
      </c>
      <c r="D82" s="94" t="str">
        <f t="shared" si="2"/>
        <v>A1 (BM)</v>
      </c>
      <c r="E82" s="91">
        <v>45930</v>
      </c>
      <c r="F82" s="85" t="s">
        <v>43</v>
      </c>
      <c r="G82" s="86" t="s">
        <v>515</v>
      </c>
    </row>
    <row r="83" spans="1:7" x14ac:dyDescent="0.2">
      <c r="A83" s="85">
        <v>80</v>
      </c>
      <c r="B83" s="105" t="s">
        <v>156</v>
      </c>
      <c r="C83" s="85" t="s">
        <v>157</v>
      </c>
      <c r="D83" s="94" t="str">
        <f t="shared" si="2"/>
        <v>A1 (LM)</v>
      </c>
      <c r="E83" s="91">
        <v>46112</v>
      </c>
      <c r="F83" s="85" t="s">
        <v>44</v>
      </c>
      <c r="G83" s="86" t="s">
        <v>487</v>
      </c>
    </row>
    <row r="84" spans="1:7" x14ac:dyDescent="0.2">
      <c r="A84" s="85">
        <v>81</v>
      </c>
      <c r="B84" s="105" t="s">
        <v>435</v>
      </c>
      <c r="C84" s="85" t="s">
        <v>158</v>
      </c>
      <c r="D84" s="94" t="str">
        <f t="shared" si="2"/>
        <v>A1 (LM)</v>
      </c>
      <c r="E84" s="91">
        <v>46173</v>
      </c>
      <c r="F84" s="85" t="s">
        <v>543</v>
      </c>
      <c r="G84" s="86" t="s">
        <v>487</v>
      </c>
    </row>
    <row r="85" spans="1:7" x14ac:dyDescent="0.2">
      <c r="A85" s="85">
        <v>82</v>
      </c>
      <c r="B85" s="105" t="s">
        <v>559</v>
      </c>
      <c r="C85" s="85" t="s">
        <v>558</v>
      </c>
      <c r="D85" s="94" t="str">
        <f t="shared" si="2"/>
        <v>A1 (LM)</v>
      </c>
      <c r="E85" s="91">
        <v>45961</v>
      </c>
      <c r="F85" s="85" t="s">
        <v>542</v>
      </c>
      <c r="G85" s="86" t="s">
        <v>487</v>
      </c>
    </row>
    <row r="86" spans="1:7" x14ac:dyDescent="0.2">
      <c r="A86" s="85">
        <v>83</v>
      </c>
      <c r="B86" s="105" t="s">
        <v>436</v>
      </c>
      <c r="C86" s="85" t="s">
        <v>159</v>
      </c>
      <c r="D86" s="94" t="str">
        <f t="shared" si="2"/>
        <v>A1 (LM)</v>
      </c>
      <c r="E86" s="91">
        <v>45930</v>
      </c>
      <c r="F86" s="85" t="s">
        <v>44</v>
      </c>
      <c r="G86" s="86" t="s">
        <v>487</v>
      </c>
    </row>
    <row r="87" spans="1:7" x14ac:dyDescent="0.2">
      <c r="A87" s="85">
        <v>84</v>
      </c>
      <c r="B87" s="105" t="s">
        <v>569</v>
      </c>
      <c r="C87" s="85" t="s">
        <v>568</v>
      </c>
      <c r="D87" s="94" t="str">
        <f t="shared" si="2"/>
        <v>A1 (LM)</v>
      </c>
      <c r="E87" s="91">
        <v>46081</v>
      </c>
      <c r="F87" s="85" t="s">
        <v>43</v>
      </c>
      <c r="G87" s="86" t="s">
        <v>487</v>
      </c>
    </row>
    <row r="88" spans="1:7" x14ac:dyDescent="0.2">
      <c r="A88" s="85">
        <v>85</v>
      </c>
      <c r="B88" s="105" t="s">
        <v>160</v>
      </c>
      <c r="C88" s="85" t="s">
        <v>161</v>
      </c>
      <c r="D88" s="94" t="str">
        <f t="shared" si="2"/>
        <v>A1 (LM)</v>
      </c>
      <c r="E88" s="91">
        <v>45930</v>
      </c>
      <c r="F88" s="85" t="s">
        <v>39</v>
      </c>
      <c r="G88" s="86" t="s">
        <v>487</v>
      </c>
    </row>
    <row r="89" spans="1:7" x14ac:dyDescent="0.2">
      <c r="A89" s="85">
        <v>86</v>
      </c>
      <c r="B89" s="105" t="s">
        <v>437</v>
      </c>
      <c r="C89" s="85" t="s">
        <v>476</v>
      </c>
      <c r="D89" s="94" t="str">
        <f t="shared" si="2"/>
        <v>A1 (LM)</v>
      </c>
      <c r="E89" s="91">
        <v>46142</v>
      </c>
      <c r="F89" s="85" t="s">
        <v>39</v>
      </c>
      <c r="G89" s="86" t="s">
        <v>487</v>
      </c>
    </row>
    <row r="90" spans="1:7" x14ac:dyDescent="0.2">
      <c r="A90" s="85">
        <v>87</v>
      </c>
      <c r="B90" s="105" t="s">
        <v>438</v>
      </c>
      <c r="C90" s="85" t="s">
        <v>162</v>
      </c>
      <c r="D90" s="94" t="str">
        <f t="shared" si="2"/>
        <v>C ≥ 5</v>
      </c>
      <c r="E90" s="91">
        <v>46265</v>
      </c>
      <c r="F90" s="85" t="s">
        <v>39</v>
      </c>
      <c r="G90" s="86" t="s">
        <v>516</v>
      </c>
    </row>
    <row r="91" spans="1:7" x14ac:dyDescent="0.2">
      <c r="A91" s="85">
        <v>88</v>
      </c>
      <c r="B91" s="105" t="s">
        <v>439</v>
      </c>
      <c r="C91" s="85" t="s">
        <v>477</v>
      </c>
      <c r="D91" s="94" t="str">
        <f t="shared" si="2"/>
        <v>A1 (LM)</v>
      </c>
      <c r="E91" s="91">
        <v>45930</v>
      </c>
      <c r="F91" s="85" t="s">
        <v>543</v>
      </c>
      <c r="G91" s="86" t="s">
        <v>487</v>
      </c>
    </row>
    <row r="92" spans="1:7" x14ac:dyDescent="0.2">
      <c r="A92" s="85">
        <v>89</v>
      </c>
      <c r="B92" s="105" t="s">
        <v>440</v>
      </c>
      <c r="C92" s="85" t="s">
        <v>163</v>
      </c>
      <c r="D92" s="94" t="str">
        <f t="shared" si="2"/>
        <v>B</v>
      </c>
      <c r="E92" s="91">
        <v>46234</v>
      </c>
      <c r="F92" s="85" t="s">
        <v>38</v>
      </c>
      <c r="G92" s="86" t="s">
        <v>504</v>
      </c>
    </row>
    <row r="93" spans="1:7" x14ac:dyDescent="0.2">
      <c r="A93" s="85">
        <v>90</v>
      </c>
      <c r="B93" s="105" t="s">
        <v>302</v>
      </c>
      <c r="C93" s="85" t="s">
        <v>309</v>
      </c>
      <c r="D93" s="94" t="str">
        <f t="shared" si="2"/>
        <v>C ≥ 5</v>
      </c>
      <c r="E93" s="91">
        <v>46234</v>
      </c>
      <c r="F93" s="85" t="s">
        <v>544</v>
      </c>
      <c r="G93" s="86" t="s">
        <v>517</v>
      </c>
    </row>
    <row r="94" spans="1:7" x14ac:dyDescent="0.2">
      <c r="A94" s="85">
        <v>91</v>
      </c>
      <c r="B94" s="105" t="s">
        <v>304</v>
      </c>
      <c r="C94" s="85" t="s">
        <v>311</v>
      </c>
      <c r="D94" s="94" t="str">
        <f t="shared" si="2"/>
        <v>A2</v>
      </c>
      <c r="E94" s="91">
        <v>46022</v>
      </c>
      <c r="F94" s="85" t="s">
        <v>44</v>
      </c>
      <c r="G94" s="86" t="s">
        <v>518</v>
      </c>
    </row>
    <row r="95" spans="1:7" x14ac:dyDescent="0.2">
      <c r="A95" s="85">
        <v>92</v>
      </c>
      <c r="B95" s="105" t="s">
        <v>441</v>
      </c>
      <c r="C95" s="85" t="s">
        <v>478</v>
      </c>
      <c r="D95" s="94" t="str">
        <f t="shared" si="2"/>
        <v>A1 (BM)</v>
      </c>
      <c r="E95" s="91">
        <v>46142</v>
      </c>
      <c r="F95" s="85" t="s">
        <v>44</v>
      </c>
      <c r="G95" s="86" t="s">
        <v>519</v>
      </c>
    </row>
    <row r="96" spans="1:7" x14ac:dyDescent="0.2">
      <c r="A96" s="85">
        <v>93</v>
      </c>
      <c r="B96" s="105" t="s">
        <v>166</v>
      </c>
      <c r="C96" s="85" t="s">
        <v>167</v>
      </c>
      <c r="D96" s="94" t="str">
        <f t="shared" si="2"/>
        <v>C ≥ 5</v>
      </c>
      <c r="E96" s="91">
        <v>46203</v>
      </c>
      <c r="F96" s="85" t="s">
        <v>541</v>
      </c>
      <c r="G96" s="86" t="s">
        <v>582</v>
      </c>
    </row>
    <row r="97" spans="1:7" x14ac:dyDescent="0.2">
      <c r="A97" s="85">
        <v>94</v>
      </c>
      <c r="B97" s="105" t="s">
        <v>168</v>
      </c>
      <c r="C97" s="85" t="s">
        <v>169</v>
      </c>
      <c r="D97" s="94" t="str">
        <f t="shared" si="2"/>
        <v>A1 (LM)</v>
      </c>
      <c r="E97" s="91">
        <v>46053</v>
      </c>
      <c r="F97" s="85" t="s">
        <v>39</v>
      </c>
      <c r="G97" s="86" t="s">
        <v>487</v>
      </c>
    </row>
    <row r="98" spans="1:7" x14ac:dyDescent="0.2">
      <c r="A98" s="85">
        <v>95</v>
      </c>
      <c r="B98" s="105" t="s">
        <v>170</v>
      </c>
      <c r="C98" s="85" t="s">
        <v>171</v>
      </c>
      <c r="D98" s="94" t="str">
        <f t="shared" si="2"/>
        <v>C &lt; 5</v>
      </c>
      <c r="E98" s="91">
        <v>46265</v>
      </c>
      <c r="F98" s="85" t="s">
        <v>39</v>
      </c>
      <c r="G98" s="86" t="s">
        <v>498</v>
      </c>
    </row>
    <row r="99" spans="1:7" x14ac:dyDescent="0.2">
      <c r="A99" s="85">
        <v>96</v>
      </c>
      <c r="B99" s="105" t="s">
        <v>442</v>
      </c>
      <c r="C99" s="85" t="s">
        <v>172</v>
      </c>
      <c r="D99" s="94" t="str">
        <f t="shared" si="2"/>
        <v>C &lt; 5</v>
      </c>
      <c r="E99" s="91">
        <v>46173</v>
      </c>
      <c r="F99" s="85" t="s">
        <v>542</v>
      </c>
      <c r="G99" s="86" t="s">
        <v>520</v>
      </c>
    </row>
    <row r="100" spans="1:7" x14ac:dyDescent="0.2">
      <c r="A100" s="85">
        <v>97</v>
      </c>
      <c r="B100" s="105" t="s">
        <v>173</v>
      </c>
      <c r="C100" s="85" t="s">
        <v>174</v>
      </c>
      <c r="D100" s="94" t="str">
        <f t="shared" ref="D100:D132" si="3">IF(ISNUMBER(SEARCH("A1BM",$G100)),"A1 (BM)",IF(ISNUMBER(SEARCH("A2",$G100)),"A2",IF(ISNUMBER(SEARCH("B",$G100)),"B",IF(AND(ISNUMBER(SEARCH("C",$G100)),LEN($G100)-LEN(SUBSTITUTE($G100,"C",""))&gt;=5),"C ≥ 5",IF(ISNUMBER(SEARCH("A1LM",$G100)),"A1 (LM)",IF(AND(ISNUMBER(SEARCH("C",$G100)),LEN($G100)-LEN(SUBSTITUTE($G100,"C",""))&lt;5),"C &lt; 5",IF(ISNUMBER(SEARCH("MD",$G100)),"MD",IF(ISNUMBER(SEARCH("D",$G100)),"D"))))))))</f>
        <v>C &lt; 5</v>
      </c>
      <c r="E100" s="91">
        <v>46112</v>
      </c>
      <c r="F100" s="85" t="s">
        <v>542</v>
      </c>
      <c r="G100" s="86" t="s">
        <v>521</v>
      </c>
    </row>
    <row r="101" spans="1:7" x14ac:dyDescent="0.2">
      <c r="A101" s="85">
        <v>98</v>
      </c>
      <c r="B101" s="105" t="s">
        <v>594</v>
      </c>
      <c r="C101" s="85" t="s">
        <v>608</v>
      </c>
      <c r="D101" s="94" t="str">
        <f t="shared" si="3"/>
        <v>A1 (LM)</v>
      </c>
      <c r="E101" s="91">
        <v>45930</v>
      </c>
      <c r="F101" s="85" t="s">
        <v>42</v>
      </c>
      <c r="G101" s="86" t="s">
        <v>487</v>
      </c>
    </row>
    <row r="102" spans="1:7" x14ac:dyDescent="0.2">
      <c r="A102" s="85">
        <v>99</v>
      </c>
      <c r="B102" s="105" t="s">
        <v>443</v>
      </c>
      <c r="C102" s="85" t="s">
        <v>479</v>
      </c>
      <c r="D102" s="94" t="str">
        <f t="shared" si="3"/>
        <v>B</v>
      </c>
      <c r="E102" s="91">
        <v>45961</v>
      </c>
      <c r="F102" s="85" t="s">
        <v>586</v>
      </c>
      <c r="G102" s="86" t="s">
        <v>502</v>
      </c>
    </row>
    <row r="103" spans="1:7" x14ac:dyDescent="0.2">
      <c r="A103" s="85">
        <v>100</v>
      </c>
      <c r="B103" s="105" t="s">
        <v>444</v>
      </c>
      <c r="C103" s="85" t="s">
        <v>307</v>
      </c>
      <c r="D103" s="94" t="str">
        <f t="shared" si="3"/>
        <v>B</v>
      </c>
      <c r="E103" s="91">
        <v>46234</v>
      </c>
      <c r="F103" s="85" t="s">
        <v>542</v>
      </c>
      <c r="G103" s="86" t="s">
        <v>522</v>
      </c>
    </row>
    <row r="104" spans="1:7" x14ac:dyDescent="0.2">
      <c r="A104" s="85">
        <v>101</v>
      </c>
      <c r="B104" s="105" t="s">
        <v>595</v>
      </c>
      <c r="C104" s="85" t="s">
        <v>609</v>
      </c>
      <c r="D104" s="94" t="str">
        <f t="shared" si="3"/>
        <v>B</v>
      </c>
      <c r="E104" s="91">
        <v>46081</v>
      </c>
      <c r="F104" s="85" t="s">
        <v>44</v>
      </c>
      <c r="G104" s="86" t="s">
        <v>502</v>
      </c>
    </row>
    <row r="105" spans="1:7" x14ac:dyDescent="0.2">
      <c r="A105" s="85">
        <v>102</v>
      </c>
      <c r="B105" s="105" t="s">
        <v>175</v>
      </c>
      <c r="C105" s="85" t="s">
        <v>176</v>
      </c>
      <c r="D105" s="94" t="str">
        <f t="shared" si="3"/>
        <v>A1 (LM)</v>
      </c>
      <c r="E105" s="91">
        <v>45991</v>
      </c>
      <c r="F105" s="85" t="s">
        <v>43</v>
      </c>
      <c r="G105" s="86" t="s">
        <v>487</v>
      </c>
    </row>
    <row r="106" spans="1:7" x14ac:dyDescent="0.2">
      <c r="A106" s="85">
        <v>103</v>
      </c>
      <c r="B106" s="105" t="s">
        <v>596</v>
      </c>
      <c r="C106" s="85" t="s">
        <v>610</v>
      </c>
      <c r="D106" s="94" t="str">
        <f t="shared" si="3"/>
        <v>A1 (LM)</v>
      </c>
      <c r="E106" s="91">
        <v>46203</v>
      </c>
      <c r="F106" s="85" t="s">
        <v>543</v>
      </c>
      <c r="G106" s="86" t="s">
        <v>487</v>
      </c>
    </row>
    <row r="107" spans="1:7" x14ac:dyDescent="0.2">
      <c r="A107" s="85">
        <v>104</v>
      </c>
      <c r="B107" s="105" t="s">
        <v>445</v>
      </c>
      <c r="C107" s="85" t="s">
        <v>177</v>
      </c>
      <c r="D107" s="94" t="str">
        <f t="shared" si="3"/>
        <v>C &lt; 5</v>
      </c>
      <c r="E107" s="91">
        <v>46173</v>
      </c>
      <c r="F107" s="85" t="s">
        <v>39</v>
      </c>
      <c r="G107" s="86" t="s">
        <v>523</v>
      </c>
    </row>
    <row r="108" spans="1:7" x14ac:dyDescent="0.2">
      <c r="A108" s="85">
        <v>105</v>
      </c>
      <c r="B108" s="105" t="s">
        <v>180</v>
      </c>
      <c r="C108" s="85" t="s">
        <v>181</v>
      </c>
      <c r="D108" s="94" t="str">
        <f t="shared" si="3"/>
        <v>A1 (LM)</v>
      </c>
      <c r="E108" s="91">
        <v>46173</v>
      </c>
      <c r="F108" s="85" t="s">
        <v>541</v>
      </c>
      <c r="G108" s="86" t="s">
        <v>487</v>
      </c>
    </row>
    <row r="109" spans="1:7" x14ac:dyDescent="0.2">
      <c r="A109" s="85">
        <v>106</v>
      </c>
      <c r="B109" s="105" t="s">
        <v>446</v>
      </c>
      <c r="C109" s="85" t="s">
        <v>183</v>
      </c>
      <c r="D109" s="94" t="str">
        <f t="shared" si="3"/>
        <v>C &lt; 5</v>
      </c>
      <c r="E109" s="91">
        <v>46142</v>
      </c>
      <c r="F109" s="85" t="s">
        <v>39</v>
      </c>
      <c r="G109" s="86" t="s">
        <v>524</v>
      </c>
    </row>
    <row r="110" spans="1:7" x14ac:dyDescent="0.2">
      <c r="A110" s="85">
        <v>107</v>
      </c>
      <c r="B110" s="105" t="s">
        <v>447</v>
      </c>
      <c r="C110" s="85" t="s">
        <v>182</v>
      </c>
      <c r="D110" s="94" t="str">
        <f t="shared" si="3"/>
        <v>A1 (LM)</v>
      </c>
      <c r="E110" s="91">
        <v>46142</v>
      </c>
      <c r="F110" s="85" t="s">
        <v>543</v>
      </c>
      <c r="G110" s="86" t="s">
        <v>487</v>
      </c>
    </row>
    <row r="111" spans="1:7" x14ac:dyDescent="0.2">
      <c r="A111" s="85">
        <v>108</v>
      </c>
      <c r="B111" s="105" t="s">
        <v>557</v>
      </c>
      <c r="C111" s="85" t="s">
        <v>556</v>
      </c>
      <c r="D111" s="94" t="str">
        <f t="shared" si="3"/>
        <v>A1 (LM)</v>
      </c>
      <c r="E111" s="91">
        <v>45930</v>
      </c>
      <c r="F111" s="85" t="s">
        <v>42</v>
      </c>
      <c r="G111" s="86" t="s">
        <v>487</v>
      </c>
    </row>
    <row r="112" spans="1:7" x14ac:dyDescent="0.2">
      <c r="A112" s="85">
        <v>109</v>
      </c>
      <c r="B112" s="105" t="s">
        <v>448</v>
      </c>
      <c r="C112" s="85" t="s">
        <v>185</v>
      </c>
      <c r="D112" s="94" t="str">
        <f t="shared" si="3"/>
        <v>B</v>
      </c>
      <c r="E112" s="91">
        <v>45900</v>
      </c>
      <c r="F112" s="85" t="s">
        <v>38</v>
      </c>
      <c r="G112" s="86" t="s">
        <v>525</v>
      </c>
    </row>
    <row r="113" spans="1:7" x14ac:dyDescent="0.2">
      <c r="A113" s="85">
        <v>110</v>
      </c>
      <c r="B113" s="105" t="s">
        <v>449</v>
      </c>
      <c r="C113" s="85" t="s">
        <v>186</v>
      </c>
      <c r="D113" s="94" t="str">
        <f t="shared" si="3"/>
        <v>C &lt; 5</v>
      </c>
      <c r="E113" s="91">
        <v>46053</v>
      </c>
      <c r="F113" s="85" t="s">
        <v>542</v>
      </c>
      <c r="G113" s="86" t="s">
        <v>490</v>
      </c>
    </row>
    <row r="114" spans="1:7" x14ac:dyDescent="0.2">
      <c r="A114" s="85">
        <v>111</v>
      </c>
      <c r="B114" s="105" t="s">
        <v>561</v>
      </c>
      <c r="C114" s="85" t="s">
        <v>560</v>
      </c>
      <c r="D114" s="94" t="str">
        <f t="shared" si="3"/>
        <v>C &lt; 5</v>
      </c>
      <c r="E114" s="91">
        <v>45961</v>
      </c>
      <c r="F114" s="85" t="s">
        <v>544</v>
      </c>
      <c r="G114" s="86" t="s">
        <v>494</v>
      </c>
    </row>
    <row r="115" spans="1:7" x14ac:dyDescent="0.2">
      <c r="A115" s="85">
        <v>112</v>
      </c>
      <c r="B115" s="105" t="s">
        <v>450</v>
      </c>
      <c r="C115" s="85" t="s">
        <v>188</v>
      </c>
      <c r="D115" s="94" t="str">
        <f t="shared" si="3"/>
        <v>A1 (LM)</v>
      </c>
      <c r="E115" s="91">
        <v>45930</v>
      </c>
      <c r="F115" s="85" t="s">
        <v>42</v>
      </c>
      <c r="G115" s="86" t="s">
        <v>487</v>
      </c>
    </row>
    <row r="116" spans="1:7" x14ac:dyDescent="0.2">
      <c r="A116" s="85">
        <v>112</v>
      </c>
      <c r="B116" s="170" t="s">
        <v>634</v>
      </c>
      <c r="C116" s="85" t="s">
        <v>635</v>
      </c>
      <c r="D116" s="94" t="str">
        <f t="shared" si="3"/>
        <v>A1 (LM)</v>
      </c>
      <c r="E116" s="91">
        <v>45878</v>
      </c>
      <c r="F116" s="85" t="s">
        <v>586</v>
      </c>
      <c r="G116" t="s">
        <v>487</v>
      </c>
    </row>
    <row r="117" spans="1:7" x14ac:dyDescent="0.2">
      <c r="A117" s="85">
        <v>113</v>
      </c>
      <c r="B117" s="105" t="s">
        <v>597</v>
      </c>
      <c r="C117" s="85" t="s">
        <v>611</v>
      </c>
      <c r="D117" s="94" t="str">
        <f t="shared" si="3"/>
        <v>B</v>
      </c>
      <c r="E117" s="91">
        <v>45991</v>
      </c>
      <c r="F117" s="85" t="s">
        <v>43</v>
      </c>
      <c r="G117" s="86" t="s">
        <v>484</v>
      </c>
    </row>
    <row r="118" spans="1:7" x14ac:dyDescent="0.2">
      <c r="A118" s="85">
        <v>114</v>
      </c>
      <c r="B118" s="105" t="s">
        <v>451</v>
      </c>
      <c r="C118" s="85" t="s">
        <v>191</v>
      </c>
      <c r="D118" s="94" t="str">
        <f t="shared" si="3"/>
        <v>B</v>
      </c>
      <c r="E118" s="91">
        <v>45961</v>
      </c>
      <c r="F118" s="85" t="s">
        <v>628</v>
      </c>
      <c r="G118" s="86" t="s">
        <v>504</v>
      </c>
    </row>
    <row r="119" spans="1:7" x14ac:dyDescent="0.2">
      <c r="A119" s="85">
        <v>115</v>
      </c>
      <c r="B119" s="105" t="s">
        <v>452</v>
      </c>
      <c r="C119" s="85" t="s">
        <v>480</v>
      </c>
      <c r="D119" s="94" t="str">
        <f t="shared" si="3"/>
        <v>C &lt; 5</v>
      </c>
      <c r="E119" s="91">
        <v>46173</v>
      </c>
      <c r="F119" s="85" t="s">
        <v>542</v>
      </c>
      <c r="G119" s="86" t="s">
        <v>526</v>
      </c>
    </row>
    <row r="120" spans="1:7" x14ac:dyDescent="0.2">
      <c r="A120" s="85">
        <v>116</v>
      </c>
      <c r="B120" s="105" t="s">
        <v>453</v>
      </c>
      <c r="C120" s="85" t="s">
        <v>192</v>
      </c>
      <c r="D120" s="94" t="str">
        <f t="shared" si="3"/>
        <v>C ≥ 5</v>
      </c>
      <c r="E120" s="91">
        <v>46203</v>
      </c>
      <c r="F120" s="85" t="s">
        <v>42</v>
      </c>
      <c r="G120" s="86" t="s">
        <v>527</v>
      </c>
    </row>
    <row r="121" spans="1:7" x14ac:dyDescent="0.2">
      <c r="A121" s="85">
        <v>117</v>
      </c>
      <c r="B121" s="105" t="s">
        <v>598</v>
      </c>
      <c r="C121" s="85" t="s">
        <v>612</v>
      </c>
      <c r="D121" s="94" t="str">
        <f t="shared" si="3"/>
        <v>B</v>
      </c>
      <c r="E121" s="91">
        <v>46203</v>
      </c>
      <c r="F121" s="85" t="s">
        <v>628</v>
      </c>
      <c r="G121" s="86" t="s">
        <v>502</v>
      </c>
    </row>
    <row r="122" spans="1:7" x14ac:dyDescent="0.2">
      <c r="A122" s="85">
        <v>118</v>
      </c>
      <c r="B122" s="105" t="s">
        <v>193</v>
      </c>
      <c r="C122" s="85" t="s">
        <v>194</v>
      </c>
      <c r="D122" s="94" t="str">
        <f t="shared" si="3"/>
        <v>A1 (LM)</v>
      </c>
      <c r="E122" s="91">
        <v>45961</v>
      </c>
      <c r="F122" s="85" t="s">
        <v>544</v>
      </c>
      <c r="G122" s="86" t="s">
        <v>487</v>
      </c>
    </row>
    <row r="123" spans="1:7" x14ac:dyDescent="0.2">
      <c r="A123" s="85">
        <v>119</v>
      </c>
      <c r="B123" s="105" t="s">
        <v>454</v>
      </c>
      <c r="C123" s="85" t="s">
        <v>481</v>
      </c>
      <c r="D123" s="94" t="str">
        <f t="shared" si="3"/>
        <v>C &lt; 5</v>
      </c>
      <c r="E123" s="91">
        <v>46112</v>
      </c>
      <c r="F123" s="85" t="s">
        <v>42</v>
      </c>
      <c r="G123" s="86" t="s">
        <v>499</v>
      </c>
    </row>
    <row r="124" spans="1:7" x14ac:dyDescent="0.2">
      <c r="A124" s="85">
        <v>120</v>
      </c>
      <c r="B124" s="105" t="s">
        <v>195</v>
      </c>
      <c r="C124" s="85" t="s">
        <v>196</v>
      </c>
      <c r="D124" s="94" t="str">
        <f t="shared" si="3"/>
        <v>A1 (LM)</v>
      </c>
      <c r="E124" s="91">
        <v>46173</v>
      </c>
      <c r="F124" s="85" t="s">
        <v>586</v>
      </c>
      <c r="G124" s="86" t="s">
        <v>487</v>
      </c>
    </row>
    <row r="125" spans="1:7" x14ac:dyDescent="0.2">
      <c r="A125" s="85">
        <v>121</v>
      </c>
      <c r="B125" s="105" t="s">
        <v>197</v>
      </c>
      <c r="C125" s="85" t="s">
        <v>198</v>
      </c>
      <c r="D125" s="94" t="str">
        <f t="shared" si="3"/>
        <v>A1 (LM)</v>
      </c>
      <c r="E125" s="91">
        <v>46112</v>
      </c>
      <c r="F125" s="85" t="s">
        <v>38</v>
      </c>
      <c r="G125" s="86" t="s">
        <v>487</v>
      </c>
    </row>
    <row r="126" spans="1:7" x14ac:dyDescent="0.2">
      <c r="A126" s="85">
        <v>122</v>
      </c>
      <c r="B126" s="105" t="s">
        <v>281</v>
      </c>
      <c r="C126" s="85" t="s">
        <v>267</v>
      </c>
      <c r="D126" s="94" t="str">
        <f t="shared" si="3"/>
        <v>C ≥ 5</v>
      </c>
      <c r="E126" s="91">
        <v>46265</v>
      </c>
      <c r="F126" s="85" t="s">
        <v>37</v>
      </c>
      <c r="G126" s="86" t="s">
        <v>623</v>
      </c>
    </row>
    <row r="127" spans="1:7" x14ac:dyDescent="0.2">
      <c r="A127" s="85">
        <v>123</v>
      </c>
      <c r="B127" s="105" t="s">
        <v>199</v>
      </c>
      <c r="C127" s="85" t="s">
        <v>200</v>
      </c>
      <c r="D127" s="94" t="str">
        <f t="shared" si="3"/>
        <v>B</v>
      </c>
      <c r="E127" s="91">
        <v>45961</v>
      </c>
      <c r="F127" s="85" t="s">
        <v>586</v>
      </c>
      <c r="G127" s="86" t="s">
        <v>502</v>
      </c>
    </row>
    <row r="128" spans="1:7" x14ac:dyDescent="0.2">
      <c r="A128" s="85">
        <v>124</v>
      </c>
      <c r="B128" s="105" t="s">
        <v>599</v>
      </c>
      <c r="C128" s="85" t="s">
        <v>613</v>
      </c>
      <c r="D128" s="94" t="str">
        <f t="shared" si="3"/>
        <v>C &lt; 5</v>
      </c>
      <c r="E128" s="91">
        <v>46022</v>
      </c>
      <c r="F128" s="85" t="s">
        <v>542</v>
      </c>
      <c r="G128" s="86" t="s">
        <v>624</v>
      </c>
    </row>
    <row r="129" spans="1:7" x14ac:dyDescent="0.2">
      <c r="A129" s="85">
        <v>125</v>
      </c>
      <c r="B129" s="105" t="s">
        <v>455</v>
      </c>
      <c r="C129" s="85" t="s">
        <v>314</v>
      </c>
      <c r="D129" s="94" t="str">
        <f t="shared" si="3"/>
        <v>C ≥ 5</v>
      </c>
      <c r="E129" s="91">
        <v>46142</v>
      </c>
      <c r="F129" s="85" t="s">
        <v>541</v>
      </c>
      <c r="G129" s="86" t="s">
        <v>528</v>
      </c>
    </row>
    <row r="130" spans="1:7" x14ac:dyDescent="0.2">
      <c r="A130" s="85">
        <v>126</v>
      </c>
      <c r="B130" s="105" t="s">
        <v>201</v>
      </c>
      <c r="C130" s="85" t="s">
        <v>202</v>
      </c>
      <c r="D130" s="94" t="str">
        <f t="shared" si="3"/>
        <v>C ≥ 5</v>
      </c>
      <c r="E130" s="91">
        <v>46053</v>
      </c>
      <c r="F130" s="85" t="s">
        <v>37</v>
      </c>
      <c r="G130" s="86" t="s">
        <v>625</v>
      </c>
    </row>
    <row r="131" spans="1:7" x14ac:dyDescent="0.2">
      <c r="A131" s="85">
        <v>127</v>
      </c>
      <c r="B131" s="105" t="s">
        <v>203</v>
      </c>
      <c r="C131" s="85" t="s">
        <v>204</v>
      </c>
      <c r="D131" s="94" t="str">
        <f t="shared" si="3"/>
        <v>B</v>
      </c>
      <c r="E131" s="91">
        <v>46203</v>
      </c>
      <c r="F131" s="85" t="s">
        <v>586</v>
      </c>
      <c r="G131" s="86" t="s">
        <v>502</v>
      </c>
    </row>
    <row r="132" spans="1:7" x14ac:dyDescent="0.2">
      <c r="A132" s="85">
        <v>128</v>
      </c>
      <c r="B132" s="105" t="s">
        <v>205</v>
      </c>
      <c r="C132" s="85" t="s">
        <v>206</v>
      </c>
      <c r="D132" s="94" t="str">
        <f t="shared" si="3"/>
        <v>B</v>
      </c>
      <c r="E132" s="91">
        <v>45961</v>
      </c>
      <c r="F132" s="85" t="s">
        <v>586</v>
      </c>
      <c r="G132" s="86" t="s">
        <v>502</v>
      </c>
    </row>
    <row r="133" spans="1:7" x14ac:dyDescent="0.2">
      <c r="A133" s="85">
        <v>129</v>
      </c>
      <c r="B133" s="105" t="s">
        <v>207</v>
      </c>
      <c r="C133" s="85" t="s">
        <v>208</v>
      </c>
      <c r="D133" s="94" t="str">
        <f t="shared" ref="D133:D171" si="4">IF(ISNUMBER(SEARCH("A1BM",$G133)),"A1 (BM)",IF(ISNUMBER(SEARCH("A2",$G133)),"A2",IF(ISNUMBER(SEARCH("B",$G133)),"B",IF(AND(ISNUMBER(SEARCH("C",$G133)),LEN($G133)-LEN(SUBSTITUTE($G133,"C",""))&gt;=5),"C ≥ 5",IF(ISNUMBER(SEARCH("A1LM",$G133)),"A1 (LM)",IF(AND(ISNUMBER(SEARCH("C",$G133)),LEN($G133)-LEN(SUBSTITUTE($G133,"C",""))&lt;5),"C &lt; 5",IF(ISNUMBER(SEARCH("MD",$G133)),"MD",IF(ISNUMBER(SEARCH("D",$G133)),"D"))))))))</f>
        <v>C &lt; 5</v>
      </c>
      <c r="E133" s="91">
        <v>46203</v>
      </c>
      <c r="F133" s="85" t="s">
        <v>38</v>
      </c>
      <c r="G133" s="86" t="s">
        <v>529</v>
      </c>
    </row>
    <row r="134" spans="1:7" x14ac:dyDescent="0.2">
      <c r="A134" s="85">
        <v>130</v>
      </c>
      <c r="B134" s="105" t="s">
        <v>209</v>
      </c>
      <c r="C134" s="85" t="s">
        <v>210</v>
      </c>
      <c r="D134" s="94" t="str">
        <f t="shared" si="4"/>
        <v>C ≥ 5</v>
      </c>
      <c r="E134" s="91">
        <v>46203</v>
      </c>
      <c r="F134" s="85" t="s">
        <v>43</v>
      </c>
      <c r="G134" s="86" t="s">
        <v>530</v>
      </c>
    </row>
    <row r="135" spans="1:7" x14ac:dyDescent="0.2">
      <c r="A135" s="85">
        <v>131</v>
      </c>
      <c r="B135" s="105" t="s">
        <v>213</v>
      </c>
      <c r="C135" s="85" t="s">
        <v>214</v>
      </c>
      <c r="D135" s="94" t="str">
        <f t="shared" si="4"/>
        <v>A1 (BM)</v>
      </c>
      <c r="E135" s="91">
        <v>46053</v>
      </c>
      <c r="F135" s="85" t="s">
        <v>44</v>
      </c>
      <c r="G135" s="86" t="s">
        <v>531</v>
      </c>
    </row>
    <row r="136" spans="1:7" x14ac:dyDescent="0.2">
      <c r="A136" s="85">
        <v>132</v>
      </c>
      <c r="B136" s="105" t="s">
        <v>456</v>
      </c>
      <c r="C136" s="85" t="s">
        <v>215</v>
      </c>
      <c r="D136" s="94" t="str">
        <f t="shared" si="4"/>
        <v>D</v>
      </c>
      <c r="E136" s="91">
        <v>46173</v>
      </c>
      <c r="F136" s="85" t="s">
        <v>628</v>
      </c>
      <c r="G136" s="86" t="s">
        <v>34</v>
      </c>
    </row>
    <row r="137" spans="1:7" x14ac:dyDescent="0.2">
      <c r="A137" s="85">
        <v>133</v>
      </c>
      <c r="B137" s="105" t="s">
        <v>457</v>
      </c>
      <c r="C137" s="85" t="s">
        <v>482</v>
      </c>
      <c r="D137" s="94" t="str">
        <f t="shared" si="4"/>
        <v>B</v>
      </c>
      <c r="E137" s="91">
        <v>46142</v>
      </c>
      <c r="F137" s="85" t="s">
        <v>544</v>
      </c>
      <c r="G137" s="86" t="s">
        <v>502</v>
      </c>
    </row>
    <row r="138" spans="1:7" x14ac:dyDescent="0.2">
      <c r="A138" s="85">
        <v>134</v>
      </c>
      <c r="B138" s="105" t="s">
        <v>218</v>
      </c>
      <c r="C138" s="85" t="s">
        <v>219</v>
      </c>
      <c r="D138" s="94" t="str">
        <f t="shared" si="4"/>
        <v>A1 (LM)</v>
      </c>
      <c r="E138" s="91">
        <v>46234</v>
      </c>
      <c r="F138" s="85" t="s">
        <v>37</v>
      </c>
      <c r="G138" s="86" t="s">
        <v>487</v>
      </c>
    </row>
    <row r="139" spans="1:7" x14ac:dyDescent="0.2">
      <c r="A139" s="85">
        <v>135</v>
      </c>
      <c r="B139" s="105" t="s">
        <v>458</v>
      </c>
      <c r="C139" s="85" t="s">
        <v>220</v>
      </c>
      <c r="D139" s="94" t="str">
        <f t="shared" si="4"/>
        <v>A1 (BM)</v>
      </c>
      <c r="E139" s="91">
        <v>45930</v>
      </c>
      <c r="F139" s="85" t="s">
        <v>543</v>
      </c>
      <c r="G139" s="86" t="s">
        <v>519</v>
      </c>
    </row>
    <row r="140" spans="1:7" x14ac:dyDescent="0.2">
      <c r="A140" s="85">
        <v>136</v>
      </c>
      <c r="B140" s="105" t="s">
        <v>459</v>
      </c>
      <c r="C140" s="85" t="s">
        <v>308</v>
      </c>
      <c r="D140" s="94" t="str">
        <f t="shared" si="4"/>
        <v>A1 (LM)</v>
      </c>
      <c r="E140" s="91">
        <v>46265</v>
      </c>
      <c r="F140" s="85" t="s">
        <v>42</v>
      </c>
      <c r="G140" s="86" t="s">
        <v>487</v>
      </c>
    </row>
    <row r="141" spans="1:7" x14ac:dyDescent="0.2">
      <c r="A141" s="85">
        <v>137</v>
      </c>
      <c r="B141" s="105" t="s">
        <v>460</v>
      </c>
      <c r="C141" s="85" t="s">
        <v>221</v>
      </c>
      <c r="D141" s="94" t="str">
        <f t="shared" si="4"/>
        <v>A1 (BM)</v>
      </c>
      <c r="E141" s="91">
        <v>46022</v>
      </c>
      <c r="F141" s="85" t="s">
        <v>543</v>
      </c>
      <c r="G141" s="86" t="s">
        <v>532</v>
      </c>
    </row>
    <row r="142" spans="1:7" x14ac:dyDescent="0.2">
      <c r="A142" s="85">
        <v>138</v>
      </c>
      <c r="B142" s="105" t="s">
        <v>461</v>
      </c>
      <c r="C142" s="85" t="s">
        <v>222</v>
      </c>
      <c r="D142" s="94" t="str">
        <f t="shared" si="4"/>
        <v>A1 (LM)</v>
      </c>
      <c r="E142" s="91">
        <v>46234</v>
      </c>
      <c r="F142" s="85" t="s">
        <v>38</v>
      </c>
      <c r="G142" s="86" t="s">
        <v>487</v>
      </c>
    </row>
    <row r="143" spans="1:7" x14ac:dyDescent="0.2">
      <c r="A143" s="85">
        <v>139</v>
      </c>
      <c r="B143" s="105" t="s">
        <v>462</v>
      </c>
      <c r="C143" s="85" t="s">
        <v>225</v>
      </c>
      <c r="D143" s="94" t="str">
        <f t="shared" si="4"/>
        <v>B</v>
      </c>
      <c r="E143" s="91">
        <v>46142</v>
      </c>
      <c r="F143" s="85" t="s">
        <v>544</v>
      </c>
      <c r="G143" s="86" t="s">
        <v>533</v>
      </c>
    </row>
    <row r="144" spans="1:7" x14ac:dyDescent="0.2">
      <c r="A144" s="85">
        <v>140</v>
      </c>
      <c r="B144" s="105" t="s">
        <v>226</v>
      </c>
      <c r="C144" s="85" t="s">
        <v>227</v>
      </c>
      <c r="D144" s="94" t="str">
        <f t="shared" si="4"/>
        <v>B</v>
      </c>
      <c r="E144" s="91">
        <v>45930</v>
      </c>
      <c r="F144" s="85" t="s">
        <v>586</v>
      </c>
      <c r="G144" s="86" t="s">
        <v>502</v>
      </c>
    </row>
    <row r="145" spans="1:7" x14ac:dyDescent="0.2">
      <c r="A145" s="85">
        <v>141</v>
      </c>
      <c r="B145" s="105" t="s">
        <v>228</v>
      </c>
      <c r="C145" s="85" t="s">
        <v>229</v>
      </c>
      <c r="D145" s="94" t="str">
        <f t="shared" si="4"/>
        <v>C ≥ 5</v>
      </c>
      <c r="E145" s="91">
        <v>45991</v>
      </c>
      <c r="F145" s="85" t="s">
        <v>542</v>
      </c>
      <c r="G145" s="86" t="s">
        <v>534</v>
      </c>
    </row>
    <row r="146" spans="1:7" x14ac:dyDescent="0.2">
      <c r="A146" s="85">
        <v>142</v>
      </c>
      <c r="B146" s="105" t="s">
        <v>552</v>
      </c>
      <c r="C146" s="85" t="s">
        <v>232</v>
      </c>
      <c r="D146" s="94" t="str">
        <f t="shared" si="4"/>
        <v>B</v>
      </c>
      <c r="E146" s="91">
        <v>46173</v>
      </c>
      <c r="F146" s="85" t="s">
        <v>42</v>
      </c>
      <c r="G146" s="86" t="s">
        <v>535</v>
      </c>
    </row>
    <row r="147" spans="1:7" x14ac:dyDescent="0.2">
      <c r="A147" s="85">
        <v>143</v>
      </c>
      <c r="B147" s="105" t="s">
        <v>600</v>
      </c>
      <c r="C147" s="85" t="s">
        <v>614</v>
      </c>
      <c r="D147" s="94" t="str">
        <f t="shared" si="4"/>
        <v>A1 (LM)</v>
      </c>
      <c r="E147" s="91">
        <v>46112</v>
      </c>
      <c r="F147" s="85" t="s">
        <v>628</v>
      </c>
      <c r="G147" s="86" t="s">
        <v>487</v>
      </c>
    </row>
    <row r="148" spans="1:7" x14ac:dyDescent="0.2">
      <c r="A148" s="85">
        <v>144</v>
      </c>
      <c r="B148" s="105" t="s">
        <v>233</v>
      </c>
      <c r="C148" s="85" t="s">
        <v>234</v>
      </c>
      <c r="D148" s="94" t="str">
        <f t="shared" si="4"/>
        <v>A1 (LM)</v>
      </c>
      <c r="E148" s="91">
        <v>45991</v>
      </c>
      <c r="F148" s="85" t="s">
        <v>543</v>
      </c>
      <c r="G148" s="86" t="s">
        <v>487</v>
      </c>
    </row>
    <row r="149" spans="1:7" x14ac:dyDescent="0.2">
      <c r="A149" s="85">
        <v>145</v>
      </c>
      <c r="B149" s="105" t="s">
        <v>565</v>
      </c>
      <c r="C149" s="85" t="s">
        <v>564</v>
      </c>
      <c r="D149" s="94" t="str">
        <f t="shared" si="4"/>
        <v>A1 (LM)</v>
      </c>
      <c r="E149" s="91">
        <v>46081</v>
      </c>
      <c r="F149" s="85" t="s">
        <v>42</v>
      </c>
      <c r="G149" s="86" t="s">
        <v>487</v>
      </c>
    </row>
    <row r="150" spans="1:7" x14ac:dyDescent="0.2">
      <c r="A150" s="85">
        <v>146</v>
      </c>
      <c r="B150" s="105" t="s">
        <v>463</v>
      </c>
      <c r="C150" s="85" t="s">
        <v>236</v>
      </c>
      <c r="D150" s="94" t="str">
        <f t="shared" si="4"/>
        <v>A1 (LM)</v>
      </c>
      <c r="E150" s="91">
        <v>45991</v>
      </c>
      <c r="F150" s="85" t="s">
        <v>44</v>
      </c>
      <c r="G150" s="86" t="s">
        <v>487</v>
      </c>
    </row>
    <row r="151" spans="1:7" x14ac:dyDescent="0.2">
      <c r="A151" s="85">
        <v>147</v>
      </c>
      <c r="B151" s="105" t="s">
        <v>464</v>
      </c>
      <c r="C151" s="85" t="s">
        <v>237</v>
      </c>
      <c r="D151" s="94" t="str">
        <f t="shared" si="4"/>
        <v>B</v>
      </c>
      <c r="E151" s="91">
        <v>46203</v>
      </c>
      <c r="F151" s="85" t="s">
        <v>38</v>
      </c>
      <c r="G151" s="86" t="s">
        <v>537</v>
      </c>
    </row>
    <row r="152" spans="1:7" x14ac:dyDescent="0.2">
      <c r="A152" s="85">
        <v>148</v>
      </c>
      <c r="B152" s="105" t="s">
        <v>465</v>
      </c>
      <c r="C152" s="85" t="s">
        <v>239</v>
      </c>
      <c r="D152" s="94" t="str">
        <f t="shared" si="4"/>
        <v>A1 (BM)</v>
      </c>
      <c r="E152" s="91">
        <v>45930</v>
      </c>
      <c r="F152" s="85" t="s">
        <v>44</v>
      </c>
      <c r="G152" s="86" t="s">
        <v>538</v>
      </c>
    </row>
    <row r="153" spans="1:7" x14ac:dyDescent="0.2">
      <c r="A153" s="85">
        <v>149</v>
      </c>
      <c r="B153" s="105" t="s">
        <v>466</v>
      </c>
      <c r="C153" s="85" t="s">
        <v>240</v>
      </c>
      <c r="D153" s="94" t="str">
        <f t="shared" si="4"/>
        <v>B</v>
      </c>
      <c r="E153" s="91">
        <v>46203</v>
      </c>
      <c r="F153" s="85" t="s">
        <v>37</v>
      </c>
      <c r="G153" s="86" t="s">
        <v>539</v>
      </c>
    </row>
    <row r="154" spans="1:7" x14ac:dyDescent="0.2">
      <c r="A154" s="85">
        <v>150</v>
      </c>
      <c r="B154" s="105" t="s">
        <v>467</v>
      </c>
      <c r="C154" s="85" t="s">
        <v>238</v>
      </c>
      <c r="D154" s="94" t="str">
        <f t="shared" si="4"/>
        <v>A2</v>
      </c>
      <c r="E154" s="91">
        <v>46203</v>
      </c>
      <c r="F154" s="85" t="s">
        <v>44</v>
      </c>
      <c r="G154" s="86" t="s">
        <v>580</v>
      </c>
    </row>
    <row r="155" spans="1:7" x14ac:dyDescent="0.2">
      <c r="A155" s="85">
        <v>151</v>
      </c>
      <c r="B155" s="105" t="s">
        <v>601</v>
      </c>
      <c r="C155" s="85" t="s">
        <v>615</v>
      </c>
      <c r="D155" s="94" t="str">
        <f t="shared" si="4"/>
        <v>A1 (LM)</v>
      </c>
      <c r="E155" s="91">
        <v>46203</v>
      </c>
      <c r="F155" s="85" t="s">
        <v>586</v>
      </c>
      <c r="G155" s="86" t="s">
        <v>487</v>
      </c>
    </row>
    <row r="156" spans="1:7" x14ac:dyDescent="0.2">
      <c r="A156" s="85">
        <v>152</v>
      </c>
      <c r="B156" s="105" t="s">
        <v>241</v>
      </c>
      <c r="C156" s="85" t="s">
        <v>242</v>
      </c>
      <c r="D156" s="94" t="str">
        <f t="shared" si="4"/>
        <v>A1 (LM)</v>
      </c>
      <c r="E156" s="91">
        <v>46234</v>
      </c>
      <c r="F156" s="85" t="s">
        <v>39</v>
      </c>
      <c r="G156" s="86" t="s">
        <v>487</v>
      </c>
    </row>
    <row r="157" spans="1:7" x14ac:dyDescent="0.2">
      <c r="A157" s="85">
        <v>153</v>
      </c>
      <c r="B157" s="105" t="s">
        <v>243</v>
      </c>
      <c r="C157" s="85" t="s">
        <v>244</v>
      </c>
      <c r="D157" s="94" t="str">
        <f t="shared" si="4"/>
        <v>A1 (LM)</v>
      </c>
      <c r="E157" s="91">
        <v>46081</v>
      </c>
      <c r="F157" s="85" t="s">
        <v>43</v>
      </c>
      <c r="G157" s="86" t="s">
        <v>487</v>
      </c>
    </row>
    <row r="158" spans="1:7" x14ac:dyDescent="0.2">
      <c r="A158" s="85">
        <v>154</v>
      </c>
      <c r="B158" s="105" t="s">
        <v>602</v>
      </c>
      <c r="C158" s="85" t="s">
        <v>616</v>
      </c>
      <c r="D158" s="94" t="str">
        <f t="shared" si="4"/>
        <v>C &lt; 5</v>
      </c>
      <c r="E158" s="91">
        <v>45991</v>
      </c>
      <c r="F158" s="85" t="s">
        <v>586</v>
      </c>
      <c r="G158" s="86" t="s">
        <v>626</v>
      </c>
    </row>
    <row r="159" spans="1:7" x14ac:dyDescent="0.2">
      <c r="A159" s="85">
        <v>155</v>
      </c>
      <c r="B159" s="105" t="s">
        <v>245</v>
      </c>
      <c r="C159" s="85" t="s">
        <v>246</v>
      </c>
      <c r="D159" s="94" t="str">
        <f t="shared" si="4"/>
        <v>B</v>
      </c>
      <c r="E159" s="91">
        <v>46173</v>
      </c>
      <c r="F159" s="85" t="s">
        <v>38</v>
      </c>
      <c r="G159" s="86" t="s">
        <v>502</v>
      </c>
    </row>
    <row r="160" spans="1:7" x14ac:dyDescent="0.2">
      <c r="A160" s="85">
        <v>156</v>
      </c>
      <c r="B160" s="105" t="s">
        <v>247</v>
      </c>
      <c r="C160" s="85" t="s">
        <v>248</v>
      </c>
      <c r="D160" s="94" t="str">
        <f t="shared" si="4"/>
        <v>C &lt; 5</v>
      </c>
      <c r="E160" s="91">
        <v>46203</v>
      </c>
      <c r="F160" s="85" t="s">
        <v>544</v>
      </c>
      <c r="G160" s="86" t="s">
        <v>499</v>
      </c>
    </row>
    <row r="161" spans="1:7" x14ac:dyDescent="0.2">
      <c r="A161" s="85">
        <v>157</v>
      </c>
      <c r="B161" s="105" t="s">
        <v>249</v>
      </c>
      <c r="C161" s="85" t="s">
        <v>250</v>
      </c>
      <c r="D161" s="94" t="str">
        <f t="shared" si="4"/>
        <v>A1 (LM)</v>
      </c>
      <c r="E161" s="91">
        <v>46234</v>
      </c>
      <c r="F161" s="85" t="s">
        <v>39</v>
      </c>
      <c r="G161" s="86" t="s">
        <v>487</v>
      </c>
    </row>
    <row r="162" spans="1:7" x14ac:dyDescent="0.2">
      <c r="A162" s="85">
        <v>158</v>
      </c>
      <c r="B162" s="105" t="s">
        <v>285</v>
      </c>
      <c r="C162" s="85" t="s">
        <v>251</v>
      </c>
      <c r="D162" s="94" t="str">
        <f t="shared" si="4"/>
        <v>C ≥ 5</v>
      </c>
      <c r="E162" s="91">
        <v>45930</v>
      </c>
      <c r="F162" s="85" t="s">
        <v>42</v>
      </c>
      <c r="G162" s="86" t="s">
        <v>627</v>
      </c>
    </row>
    <row r="163" spans="1:7" x14ac:dyDescent="0.2">
      <c r="A163" s="85">
        <v>159</v>
      </c>
      <c r="B163" s="105" t="s">
        <v>468</v>
      </c>
      <c r="C163" s="85" t="s">
        <v>252</v>
      </c>
      <c r="D163" s="94" t="str">
        <f t="shared" si="4"/>
        <v>C &lt; 5</v>
      </c>
      <c r="E163" s="91">
        <v>45991</v>
      </c>
      <c r="F163" s="85" t="s">
        <v>39</v>
      </c>
      <c r="G163" s="86" t="s">
        <v>498</v>
      </c>
    </row>
    <row r="164" spans="1:7" x14ac:dyDescent="0.2">
      <c r="A164" s="85">
        <v>160</v>
      </c>
      <c r="B164" s="105" t="s">
        <v>255</v>
      </c>
      <c r="C164" s="85" t="s">
        <v>256</v>
      </c>
      <c r="D164" s="94" t="str">
        <f t="shared" si="4"/>
        <v>C &lt; 5</v>
      </c>
      <c r="E164" s="91">
        <v>46053</v>
      </c>
      <c r="F164" s="85" t="s">
        <v>43</v>
      </c>
      <c r="G164" s="86" t="s">
        <v>490</v>
      </c>
    </row>
    <row r="165" spans="1:7" x14ac:dyDescent="0.2">
      <c r="A165" s="85">
        <v>161</v>
      </c>
      <c r="B165" s="105" t="s">
        <v>287</v>
      </c>
      <c r="C165" s="85" t="s">
        <v>257</v>
      </c>
      <c r="D165" s="94" t="str">
        <f t="shared" si="4"/>
        <v>A1 (LM)</v>
      </c>
      <c r="E165" s="91">
        <v>46142</v>
      </c>
      <c r="F165" s="85" t="s">
        <v>43</v>
      </c>
      <c r="G165" s="86" t="s">
        <v>487</v>
      </c>
    </row>
    <row r="166" spans="1:7" x14ac:dyDescent="0.2">
      <c r="A166" s="85">
        <v>162</v>
      </c>
      <c r="B166" s="105" t="s">
        <v>258</v>
      </c>
      <c r="C166" s="85" t="s">
        <v>259</v>
      </c>
      <c r="D166" s="94" t="str">
        <f t="shared" si="4"/>
        <v>C &lt; 5</v>
      </c>
      <c r="E166" s="91">
        <v>46081</v>
      </c>
      <c r="F166" s="85" t="s">
        <v>541</v>
      </c>
      <c r="G166" s="86" t="s">
        <v>499</v>
      </c>
    </row>
    <row r="167" spans="1:7" x14ac:dyDescent="0.2">
      <c r="A167" s="85">
        <v>163</v>
      </c>
      <c r="B167" s="105" t="s">
        <v>260</v>
      </c>
      <c r="C167" s="85" t="s">
        <v>261</v>
      </c>
      <c r="D167" s="94" t="str">
        <f t="shared" si="4"/>
        <v>A1 (LM)</v>
      </c>
      <c r="E167" s="91">
        <v>46081</v>
      </c>
      <c r="F167" s="85" t="s">
        <v>541</v>
      </c>
      <c r="G167" s="86" t="s">
        <v>487</v>
      </c>
    </row>
    <row r="168" spans="1:7" x14ac:dyDescent="0.2">
      <c r="A168" s="85">
        <v>164</v>
      </c>
      <c r="B168" s="105" t="s">
        <v>469</v>
      </c>
      <c r="C168" s="85" t="s">
        <v>262</v>
      </c>
      <c r="D168" s="94" t="str">
        <f t="shared" si="4"/>
        <v>B</v>
      </c>
      <c r="E168" s="91">
        <v>45991</v>
      </c>
      <c r="F168" s="85" t="s">
        <v>586</v>
      </c>
      <c r="G168" s="86" t="s">
        <v>502</v>
      </c>
    </row>
    <row r="169" spans="1:7" x14ac:dyDescent="0.2">
      <c r="A169" s="85">
        <v>165</v>
      </c>
      <c r="B169" s="105" t="s">
        <v>470</v>
      </c>
      <c r="C169" s="85" t="s">
        <v>265</v>
      </c>
      <c r="D169" s="94" t="str">
        <f t="shared" si="4"/>
        <v>C &lt; 5</v>
      </c>
      <c r="E169" s="91">
        <v>46203</v>
      </c>
      <c r="F169" s="85" t="s">
        <v>39</v>
      </c>
      <c r="G169" s="86" t="s">
        <v>540</v>
      </c>
    </row>
    <row r="170" spans="1:7" x14ac:dyDescent="0.2">
      <c r="A170" s="85">
        <v>166</v>
      </c>
      <c r="B170" s="105" t="s">
        <v>282</v>
      </c>
      <c r="C170" s="85" t="s">
        <v>266</v>
      </c>
      <c r="D170" s="94" t="str">
        <f t="shared" si="4"/>
        <v>C &lt; 5</v>
      </c>
      <c r="E170" s="91">
        <v>46053</v>
      </c>
      <c r="F170" s="85" t="s">
        <v>39</v>
      </c>
      <c r="G170" s="86" t="s">
        <v>493</v>
      </c>
    </row>
    <row r="171" spans="1:7" x14ac:dyDescent="0.2">
      <c r="A171" s="85">
        <v>167</v>
      </c>
      <c r="B171" s="105" t="s">
        <v>471</v>
      </c>
      <c r="C171" s="85" t="s">
        <v>483</v>
      </c>
      <c r="D171" s="94" t="str">
        <f t="shared" si="4"/>
        <v>C ≥ 5</v>
      </c>
      <c r="E171" s="91">
        <v>45991</v>
      </c>
      <c r="F171" s="85" t="s">
        <v>37</v>
      </c>
      <c r="G171" s="86" t="s">
        <v>536</v>
      </c>
    </row>
  </sheetData>
  <autoFilter ref="A1:F162" xr:uid="{CF29D86C-5AA8-40B5-9AC4-2ADF20D6EDA6}"/>
  <sortState xmlns:xlrd2="http://schemas.microsoft.com/office/spreadsheetml/2017/richdata2" ref="B2:G162">
    <sortCondition ref="B2:B162"/>
  </sortState>
  <phoneticPr fontId="1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G25"/>
  <sheetViews>
    <sheetView workbookViewId="0">
      <selection activeCell="N13" sqref="N13"/>
    </sheetView>
  </sheetViews>
  <sheetFormatPr baseColWidth="10" defaultColWidth="9.1640625" defaultRowHeight="15" x14ac:dyDescent="0.2"/>
  <cols>
    <col min="1" max="1" width="12.83203125" style="43" customWidth="1"/>
    <col min="2" max="4" width="9.1640625" style="43"/>
    <col min="5" max="8" width="15.6640625" style="43" customWidth="1"/>
    <col min="9" max="10" width="5.33203125" style="43" customWidth="1"/>
    <col min="11" max="15" width="15.6640625" style="43" customWidth="1"/>
    <col min="16" max="16384" width="9.1640625" style="43"/>
  </cols>
  <sheetData>
    <row r="1" spans="1:20" ht="24" x14ac:dyDescent="0.2">
      <c r="A1" s="155" t="s">
        <v>50</v>
      </c>
      <c r="B1" s="155" t="s">
        <v>49</v>
      </c>
      <c r="C1" s="155" t="s">
        <v>51</v>
      </c>
      <c r="D1" s="155" t="s">
        <v>52</v>
      </c>
      <c r="E1" s="231" t="s">
        <v>53</v>
      </c>
      <c r="F1" s="231"/>
      <c r="G1" s="156" t="s">
        <v>54</v>
      </c>
      <c r="H1" s="156"/>
      <c r="I1" s="157"/>
      <c r="J1" s="157"/>
      <c r="K1" s="232" t="s">
        <v>391</v>
      </c>
      <c r="L1" s="232"/>
      <c r="M1" s="232"/>
      <c r="N1" s="232"/>
      <c r="O1" s="232"/>
      <c r="P1" s="232"/>
      <c r="Q1" s="232"/>
      <c r="R1" s="232"/>
      <c r="S1" s="232"/>
      <c r="T1" s="232"/>
    </row>
    <row r="2" spans="1:20" x14ac:dyDescent="0.2">
      <c r="A2" s="44" t="s">
        <v>23</v>
      </c>
      <c r="B2" s="44" t="s">
        <v>29</v>
      </c>
      <c r="C2" s="44">
        <v>226</v>
      </c>
      <c r="D2" s="44">
        <v>300</v>
      </c>
      <c r="E2" s="44" t="str">
        <f>IF(AND('Risk points'!H23&gt;=Sheet1!C2,'Risk points'!H23&lt;=Sheet1!D2),"True","")</f>
        <v/>
      </c>
      <c r="F2" s="157" t="str">
        <f>IF(E2="True",4,"")</f>
        <v/>
      </c>
      <c r="G2" s="157" t="str">
        <f>IF('Risk points'!H4="","",IF(AND(ISNUMBER(SEARCH('Risk points'!H4,'Risk points'!L10)),'Risk points'!H4&lt;&gt;"D"),"True",""))</f>
        <v/>
      </c>
      <c r="H2" s="157" t="str">
        <f>IF(G2="True","1","")</f>
        <v/>
      </c>
      <c r="I2" s="157"/>
      <c r="J2" s="157"/>
      <c r="K2" s="44" t="s">
        <v>392</v>
      </c>
      <c r="L2" s="158"/>
      <c r="M2" s="158"/>
      <c r="N2" s="158"/>
      <c r="O2" s="158"/>
      <c r="P2" s="157"/>
      <c r="Q2" s="44" t="s">
        <v>397</v>
      </c>
      <c r="R2" s="44" t="s">
        <v>396</v>
      </c>
      <c r="S2" s="159">
        <v>0.2</v>
      </c>
      <c r="T2" s="44" t="s">
        <v>398</v>
      </c>
    </row>
    <row r="3" spans="1:20" x14ac:dyDescent="0.2">
      <c r="A3" s="44" t="s">
        <v>25</v>
      </c>
      <c r="B3" s="44" t="s">
        <v>30</v>
      </c>
      <c r="C3" s="44">
        <v>150</v>
      </c>
      <c r="D3" s="44">
        <v>225</v>
      </c>
      <c r="E3" s="44" t="str">
        <f>IF(AND('Risk points'!H23&gt;=Sheet1!C3,'Risk points'!H23&lt;=Sheet1!D3),"True","")</f>
        <v/>
      </c>
      <c r="F3" s="157" t="str">
        <f>IF(E3="True",3,"")</f>
        <v/>
      </c>
      <c r="G3" s="157" t="str">
        <f>IF('Risk points'!H4="","",IF(ISNUMBER(SEARCH('Risk points'!H4,'Risk points'!M10)),"True",""))</f>
        <v/>
      </c>
      <c r="H3" s="157" t="str">
        <f>IF(G3="True","2","")</f>
        <v/>
      </c>
      <c r="I3" s="157"/>
      <c r="J3" s="157"/>
      <c r="K3" s="44" t="s">
        <v>393</v>
      </c>
      <c r="L3" s="44" t="e">
        <f>IF(AND(VALUE(F6)=3,VALUE(F7)=1),"True","")</f>
        <v>#N/A</v>
      </c>
      <c r="M3" s="44" t="e">
        <f>IF(AND(VALUE(F6)=3,VALUE(F7)=2),"True","")</f>
        <v>#N/A</v>
      </c>
      <c r="N3" s="158"/>
      <c r="O3" s="158"/>
      <c r="P3" s="157"/>
      <c r="Q3" s="160">
        <f>ROUNDDOWN(D3-((D3-C3)*$S$2),0)</f>
        <v>210</v>
      </c>
      <c r="R3" s="44"/>
      <c r="S3" s="44"/>
      <c r="T3" s="44" t="e">
        <f>IF(AND(OR(L3="True",M3="True"),'Risk points'!$H$23&gt;=Sheet1!Q3),"True","")</f>
        <v>#N/A</v>
      </c>
    </row>
    <row r="4" spans="1:20" x14ac:dyDescent="0.2">
      <c r="A4" s="44" t="s">
        <v>28</v>
      </c>
      <c r="B4" s="44" t="s">
        <v>32</v>
      </c>
      <c r="C4" s="44">
        <v>126</v>
      </c>
      <c r="D4" s="44">
        <v>149</v>
      </c>
      <c r="E4" s="44" t="str">
        <f>IF(AND('Risk points'!H23&gt;=Sheet1!C4,'Risk points'!H23&lt;=Sheet1!D4),"True","")</f>
        <v/>
      </c>
      <c r="F4" s="157" t="str">
        <f>IF(E4="True",2,"")</f>
        <v/>
      </c>
      <c r="G4" s="157" t="str">
        <f>IF('Risk points'!H4="","",IF(ISNUMBER(SEARCH('Risk points'!H4,'Risk points'!N10)),"True",""))</f>
        <v/>
      </c>
      <c r="H4" s="157" t="str">
        <f>IF(G4="True","3","")</f>
        <v/>
      </c>
      <c r="I4" s="157"/>
      <c r="J4" s="157"/>
      <c r="K4" s="44" t="s">
        <v>394</v>
      </c>
      <c r="L4" s="44" t="e">
        <f>IF(AND(VALUE(F6)=2,VALUE(F7)=1),"True","")</f>
        <v>#N/A</v>
      </c>
      <c r="M4" s="158"/>
      <c r="N4" s="44" t="e">
        <f>IF(AND(VALUE(F6)=2,VALUE(F7)=3),"True","")</f>
        <v>#N/A</v>
      </c>
      <c r="O4" s="158"/>
      <c r="P4" s="157"/>
      <c r="Q4" s="160">
        <f>ROUNDDOWN(D4-((D4-C4)*$S$2),0)</f>
        <v>144</v>
      </c>
      <c r="R4" s="44"/>
      <c r="S4" s="44"/>
      <c r="T4" s="44" t="e">
        <f>IF(AND(OR(L4="True",N4="True"),'Risk points'!$H$23&gt;=Sheet1!Q4),"True","")</f>
        <v>#N/A</v>
      </c>
    </row>
    <row r="5" spans="1:20" x14ac:dyDescent="0.2">
      <c r="A5" s="44" t="s">
        <v>24</v>
      </c>
      <c r="B5" s="44" t="s">
        <v>34</v>
      </c>
      <c r="C5" s="44">
        <v>100</v>
      </c>
      <c r="D5" s="44">
        <v>125</v>
      </c>
      <c r="E5" s="44" t="str">
        <f>IF(AND('Risk points'!H23&gt;=Sheet1!C5,'Risk points'!H23&lt;=Sheet1!D5),"True","")</f>
        <v/>
      </c>
      <c r="F5" s="44" t="str">
        <f>IF(E5="True",1,"")</f>
        <v/>
      </c>
      <c r="G5" s="157" t="str">
        <f>IF('Risk points'!H4="","",IF(ISNUMBER(SEARCH('Risk points'!H4,'Risk points'!O10)),"True",""))</f>
        <v/>
      </c>
      <c r="H5" s="157" t="str">
        <f>IF(G5="True","4","")</f>
        <v/>
      </c>
      <c r="I5" s="157"/>
      <c r="J5" s="157"/>
      <c r="K5" s="44" t="s">
        <v>395</v>
      </c>
      <c r="L5" s="158"/>
      <c r="M5" s="44" t="e">
        <f>IF(AND(VALUE(F6)=1,VALUE(F7)=2),"True","")</f>
        <v>#N/A</v>
      </c>
      <c r="N5" s="158"/>
      <c r="O5" s="44" t="e">
        <f>IF(AND(VALUE(F6)=1,VALUE(F7)=4),"True","")</f>
        <v>#N/A</v>
      </c>
      <c r="P5" s="157"/>
      <c r="Q5" s="160">
        <f>ROUNDDOWN(D5-((D5-C5)*$S$2),0)</f>
        <v>120</v>
      </c>
      <c r="R5" s="44"/>
      <c r="S5" s="44"/>
      <c r="T5" s="44" t="e">
        <f>IF(AND(OR(M5="True",O5="True"),'Risk points'!$H$23&gt;=Sheet1!Q5),"True","")</f>
        <v>#N/A</v>
      </c>
    </row>
    <row r="6" spans="1:20" x14ac:dyDescent="0.2">
      <c r="A6" s="44" t="s">
        <v>26</v>
      </c>
      <c r="B6" s="44" t="s">
        <v>35</v>
      </c>
      <c r="C6" s="44"/>
      <c r="D6" s="44"/>
      <c r="E6" s="44" t="s">
        <v>55</v>
      </c>
      <c r="F6" s="44" t="e">
        <f>VLOOKUP("TRUE",E2:F5,2,FALSE)</f>
        <v>#N/A</v>
      </c>
      <c r="G6" s="232" t="s">
        <v>57</v>
      </c>
      <c r="H6" s="232"/>
      <c r="I6" s="157"/>
      <c r="J6" s="157"/>
      <c r="K6" s="157"/>
      <c r="L6" s="44" t="s">
        <v>29</v>
      </c>
      <c r="M6" s="44" t="s">
        <v>298</v>
      </c>
      <c r="N6" s="44" t="s">
        <v>31</v>
      </c>
      <c r="O6" s="44" t="s">
        <v>382</v>
      </c>
      <c r="P6" s="157"/>
      <c r="Q6" s="157"/>
    </row>
    <row r="7" spans="1:20" x14ac:dyDescent="0.2">
      <c r="A7" s="44" t="s">
        <v>27</v>
      </c>
      <c r="B7" s="44" t="s">
        <v>31</v>
      </c>
      <c r="C7" s="44"/>
      <c r="D7" s="44"/>
      <c r="E7" s="44" t="s">
        <v>56</v>
      </c>
      <c r="F7" s="44" t="e">
        <f>VLOOKUP("TRUE",G2:H5,2,FALSE)</f>
        <v>#N/A</v>
      </c>
      <c r="G7" s="44">
        <v>2</v>
      </c>
      <c r="H7" s="44" t="s">
        <v>23</v>
      </c>
      <c r="I7" s="157"/>
      <c r="J7" s="157"/>
      <c r="K7" s="157"/>
      <c r="L7" s="157"/>
      <c r="M7" s="157"/>
    </row>
    <row r="8" spans="1:20" x14ac:dyDescent="0.2">
      <c r="A8" s="44"/>
      <c r="B8" s="44" t="s">
        <v>36</v>
      </c>
      <c r="C8" s="44"/>
      <c r="D8" s="44"/>
      <c r="E8" s="44" t="s">
        <v>299</v>
      </c>
      <c r="F8" s="44" t="e">
        <f>F6+F7</f>
        <v>#N/A</v>
      </c>
      <c r="G8" s="44">
        <v>3</v>
      </c>
      <c r="H8" s="44" t="s">
        <v>24</v>
      </c>
      <c r="I8" s="157"/>
      <c r="J8" s="157"/>
      <c r="K8" s="157"/>
      <c r="L8" s="157"/>
      <c r="M8" s="157"/>
    </row>
    <row r="9" spans="1:20" x14ac:dyDescent="0.2">
      <c r="A9" s="46"/>
      <c r="B9" s="44" t="s">
        <v>33</v>
      </c>
      <c r="C9" s="44"/>
      <c r="D9" s="44"/>
      <c r="E9" s="44" t="s">
        <v>58</v>
      </c>
      <c r="F9" s="44" t="e">
        <f>IF(AND(E2="True",G2="True"),"Low Tier 3",VLOOKUP(F8,G7:H13,2,FALSE))</f>
        <v>#N/A</v>
      </c>
      <c r="G9" s="44">
        <v>4</v>
      </c>
      <c r="H9" s="44" t="s">
        <v>25</v>
      </c>
      <c r="I9" s="157"/>
      <c r="J9" s="157"/>
      <c r="K9" s="157"/>
      <c r="L9" s="157"/>
      <c r="M9" s="157"/>
    </row>
    <row r="10" spans="1:20" x14ac:dyDescent="0.2">
      <c r="A10" s="45"/>
      <c r="B10" s="44"/>
      <c r="C10" s="44"/>
      <c r="D10" s="44"/>
      <c r="E10" s="44"/>
      <c r="F10" s="157"/>
      <c r="G10" s="44">
        <v>5</v>
      </c>
      <c r="H10" s="44" t="s">
        <v>26</v>
      </c>
      <c r="I10" s="157"/>
      <c r="J10" s="157"/>
      <c r="K10" s="157"/>
      <c r="L10" s="157"/>
      <c r="M10" s="157"/>
    </row>
    <row r="11" spans="1:20" x14ac:dyDescent="0.2">
      <c r="A11" s="45"/>
      <c r="B11" s="44"/>
      <c r="C11" s="44"/>
      <c r="D11" s="44"/>
      <c r="E11" s="44"/>
      <c r="F11" s="157"/>
      <c r="G11" s="44">
        <v>6</v>
      </c>
      <c r="H11" s="44" t="s">
        <v>28</v>
      </c>
      <c r="I11" s="157"/>
      <c r="J11" s="157"/>
      <c r="K11" s="157"/>
      <c r="L11" s="157"/>
      <c r="M11" s="157"/>
    </row>
    <row r="12" spans="1:20" x14ac:dyDescent="0.2">
      <c r="A12" s="45"/>
      <c r="B12" s="44"/>
      <c r="C12" s="44"/>
      <c r="D12" s="44"/>
      <c r="E12" s="44"/>
      <c r="F12" s="157"/>
      <c r="G12" s="44">
        <v>7</v>
      </c>
      <c r="H12" s="44" t="s">
        <v>27</v>
      </c>
      <c r="I12" s="157"/>
      <c r="J12" s="157"/>
      <c r="K12" s="157"/>
      <c r="L12" s="157"/>
      <c r="M12" s="157"/>
    </row>
    <row r="13" spans="1:20" x14ac:dyDescent="0.2">
      <c r="A13" s="45"/>
      <c r="B13" s="44"/>
      <c r="C13" s="44"/>
      <c r="D13" s="44"/>
      <c r="E13" s="44"/>
      <c r="F13" s="157"/>
      <c r="G13" s="44">
        <v>8</v>
      </c>
      <c r="H13" s="44" t="s">
        <v>27</v>
      </c>
      <c r="I13" s="157"/>
      <c r="J13" s="157"/>
      <c r="K13" s="157"/>
      <c r="L13" s="157"/>
      <c r="M13" s="157"/>
    </row>
    <row r="14" spans="1:20" x14ac:dyDescent="0.2">
      <c r="E14" s="157"/>
      <c r="F14" s="157"/>
      <c r="G14" s="157"/>
      <c r="H14" s="157"/>
      <c r="I14" s="157"/>
      <c r="J14" s="157"/>
      <c r="K14" s="157"/>
      <c r="L14" s="157"/>
      <c r="M14" s="157"/>
    </row>
    <row r="22" spans="1:33" x14ac:dyDescent="0.2">
      <c r="A22" s="43" t="s">
        <v>268</v>
      </c>
      <c r="B22" s="233"/>
      <c r="C22" s="230"/>
      <c r="D22" s="230"/>
      <c r="E22" s="230"/>
      <c r="F22" s="230"/>
      <c r="G22" s="230"/>
      <c r="H22" s="230"/>
      <c r="I22" s="230"/>
      <c r="J22" s="230"/>
      <c r="K22" s="230"/>
      <c r="L22" s="230"/>
      <c r="M22" s="230"/>
      <c r="N22" s="230"/>
      <c r="O22" s="230"/>
      <c r="P22" s="230"/>
      <c r="Q22" s="230"/>
      <c r="R22" s="230"/>
      <c r="S22" s="230"/>
      <c r="T22" s="230"/>
      <c r="U22" s="230"/>
      <c r="V22" s="230"/>
    </row>
    <row r="23" spans="1:33" x14ac:dyDescent="0.2">
      <c r="A23" s="43" t="s">
        <v>269</v>
      </c>
      <c r="B23" s="230" t="str">
        <f ca="1">YEAR(TODAY())&amp;"/"&amp;"AWI-"&amp;'Risk points'!C3&amp;".xlsm"</f>
        <v>2026/AWI-.xlsm</v>
      </c>
      <c r="C23" s="230"/>
      <c r="D23" s="230"/>
      <c r="E23" s="230"/>
      <c r="F23" s="230"/>
      <c r="G23" s="230"/>
      <c r="H23" s="230"/>
      <c r="I23" s="230"/>
      <c r="J23" s="230"/>
      <c r="K23" s="230"/>
      <c r="L23" s="230"/>
      <c r="M23" s="230"/>
      <c r="N23" s="230"/>
      <c r="O23" s="230"/>
      <c r="P23" s="230"/>
      <c r="Q23" s="230"/>
      <c r="R23" s="230"/>
      <c r="S23" s="230"/>
      <c r="T23" s="230"/>
      <c r="U23" s="230"/>
      <c r="V23" s="230"/>
    </row>
    <row r="24" spans="1:33" x14ac:dyDescent="0.2">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row>
    <row r="25" spans="1:33" x14ac:dyDescent="0.2">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row>
  </sheetData>
  <mergeCells count="6">
    <mergeCell ref="B23:V23"/>
    <mergeCell ref="E1:F1"/>
    <mergeCell ref="G6:H6"/>
    <mergeCell ref="B22:V22"/>
    <mergeCell ref="B24:AG25"/>
    <mergeCell ref="K1:T1"/>
  </mergeCells>
  <conditionalFormatting sqref="B7">
    <cfRule type="expression" dxfId="14" priority="3">
      <formula>"$H$3=$M$14)"</formula>
    </cfRule>
  </conditionalFormatting>
  <conditionalFormatting sqref="C2:C3">
    <cfRule type="expression" dxfId="13" priority="2">
      <formula>"and(($G$24&gt;195)($G$24&lt;289))"</formula>
    </cfRule>
  </conditionalFormatting>
  <conditionalFormatting sqref="D10:D11">
    <cfRule type="expression" dxfId="12" priority="1">
      <formula>"and(($G$24&gt;195)($G$24&lt;289))"</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4A80-5D81-425F-94C9-C15A37BE94AD}">
  <sheetPr codeName="Sheet4"/>
  <dimension ref="B2:F148"/>
  <sheetViews>
    <sheetView zoomScaleNormal="100" workbookViewId="0">
      <selection activeCell="N13" sqref="N13"/>
    </sheetView>
  </sheetViews>
  <sheetFormatPr baseColWidth="10" defaultColWidth="8.83203125" defaultRowHeight="15" x14ac:dyDescent="0.2"/>
  <cols>
    <col min="2" max="2" width="73.83203125" bestFit="1" customWidth="1"/>
    <col min="3" max="3" width="8.5" bestFit="1" customWidth="1"/>
    <col min="4" max="4" width="8" bestFit="1" customWidth="1"/>
    <col min="5" max="5" width="25.6640625" customWidth="1"/>
    <col min="6" max="6" width="15.5" style="83" bestFit="1" customWidth="1"/>
  </cols>
  <sheetData>
    <row r="2" spans="2:6" x14ac:dyDescent="0.2">
      <c r="B2" s="96" t="s">
        <v>361</v>
      </c>
      <c r="C2" s="95" t="s">
        <v>60</v>
      </c>
      <c r="D2" s="97" t="s">
        <v>34</v>
      </c>
      <c r="E2" s="113">
        <v>44834</v>
      </c>
      <c r="F2" s="97" t="s">
        <v>40</v>
      </c>
    </row>
    <row r="3" spans="2:6" x14ac:dyDescent="0.2">
      <c r="B3" s="86" t="s">
        <v>61</v>
      </c>
      <c r="C3" s="85" t="s">
        <v>62</v>
      </c>
      <c r="D3" s="85" t="s">
        <v>32</v>
      </c>
      <c r="E3" s="91">
        <v>45138</v>
      </c>
      <c r="F3" s="85" t="s">
        <v>44</v>
      </c>
    </row>
    <row r="4" spans="2:6" x14ac:dyDescent="0.2">
      <c r="B4" s="93" t="s">
        <v>63</v>
      </c>
      <c r="C4" s="85" t="s">
        <v>64</v>
      </c>
      <c r="D4" s="84" t="s">
        <v>30</v>
      </c>
      <c r="E4" s="91">
        <v>45077</v>
      </c>
      <c r="F4" s="95" t="s">
        <v>42</v>
      </c>
    </row>
    <row r="5" spans="2:6" x14ac:dyDescent="0.2">
      <c r="B5" s="86" t="s">
        <v>65</v>
      </c>
      <c r="C5" s="95" t="s">
        <v>66</v>
      </c>
      <c r="D5" s="85" t="s">
        <v>32</v>
      </c>
      <c r="E5" s="91">
        <v>44865</v>
      </c>
      <c r="F5" s="121" t="s">
        <v>44</v>
      </c>
    </row>
    <row r="6" spans="2:6" x14ac:dyDescent="0.2">
      <c r="B6" s="86" t="s">
        <v>357</v>
      </c>
      <c r="C6" s="85" t="s">
        <v>67</v>
      </c>
      <c r="D6" s="84" t="s">
        <v>30</v>
      </c>
      <c r="E6" s="91">
        <v>44895</v>
      </c>
      <c r="F6" s="85" t="s">
        <v>40</v>
      </c>
    </row>
    <row r="7" spans="2:6" x14ac:dyDescent="0.2">
      <c r="B7" s="93" t="s">
        <v>68</v>
      </c>
      <c r="C7" s="100" t="s">
        <v>69</v>
      </c>
      <c r="D7" s="109" t="s">
        <v>30</v>
      </c>
      <c r="E7" s="91">
        <v>45107</v>
      </c>
      <c r="F7" s="85" t="s">
        <v>38</v>
      </c>
    </row>
    <row r="8" spans="2:6" x14ac:dyDescent="0.2">
      <c r="B8" s="86" t="s">
        <v>356</v>
      </c>
      <c r="C8" s="85" t="s">
        <v>70</v>
      </c>
      <c r="D8" s="84" t="s">
        <v>30</v>
      </c>
      <c r="E8" s="91">
        <v>44895</v>
      </c>
      <c r="F8" s="85" t="s">
        <v>37</v>
      </c>
    </row>
    <row r="9" spans="2:6" ht="32" x14ac:dyDescent="0.2">
      <c r="B9" s="106" t="s">
        <v>375</v>
      </c>
      <c r="C9" s="100" t="s">
        <v>71</v>
      </c>
      <c r="D9" s="100" t="s">
        <v>30</v>
      </c>
      <c r="E9" s="101">
        <v>44985</v>
      </c>
      <c r="F9" s="85" t="s">
        <v>39</v>
      </c>
    </row>
    <row r="10" spans="2:6" x14ac:dyDescent="0.2">
      <c r="B10" s="86" t="s">
        <v>72</v>
      </c>
      <c r="C10" s="85" t="s">
        <v>73</v>
      </c>
      <c r="D10" s="84" t="s">
        <v>32</v>
      </c>
      <c r="E10" s="91">
        <v>44926</v>
      </c>
      <c r="F10" s="85" t="s">
        <v>39</v>
      </c>
    </row>
    <row r="11" spans="2:6" x14ac:dyDescent="0.2">
      <c r="B11" s="86" t="s">
        <v>286</v>
      </c>
      <c r="C11" s="85" t="s">
        <v>74</v>
      </c>
      <c r="D11" s="84" t="s">
        <v>32</v>
      </c>
      <c r="E11" s="91">
        <v>45077</v>
      </c>
      <c r="F11" s="85" t="s">
        <v>44</v>
      </c>
    </row>
    <row r="12" spans="2:6" x14ac:dyDescent="0.2">
      <c r="B12" s="86" t="s">
        <v>75</v>
      </c>
      <c r="C12" s="87" t="s">
        <v>76</v>
      </c>
      <c r="D12" s="85" t="s">
        <v>31</v>
      </c>
      <c r="E12" s="91">
        <v>44985</v>
      </c>
      <c r="F12" s="85" t="s">
        <v>39</v>
      </c>
    </row>
    <row r="13" spans="2:6" x14ac:dyDescent="0.2">
      <c r="B13" s="86" t="s">
        <v>77</v>
      </c>
      <c r="C13" s="87" t="s">
        <v>78</v>
      </c>
      <c r="D13" s="84" t="s">
        <v>30</v>
      </c>
      <c r="E13" s="91">
        <v>44834</v>
      </c>
      <c r="F13" s="85" t="s">
        <v>39</v>
      </c>
    </row>
    <row r="14" spans="2:6" x14ac:dyDescent="0.2">
      <c r="B14" s="86" t="s">
        <v>79</v>
      </c>
      <c r="C14" s="87" t="s">
        <v>80</v>
      </c>
      <c r="D14" s="84" t="s">
        <v>32</v>
      </c>
      <c r="E14" s="91">
        <v>45077</v>
      </c>
      <c r="F14" s="95" t="s">
        <v>44</v>
      </c>
    </row>
    <row r="15" spans="2:6" x14ac:dyDescent="0.2">
      <c r="B15" s="86" t="s">
        <v>366</v>
      </c>
      <c r="C15" s="95" t="s">
        <v>81</v>
      </c>
      <c r="D15" s="85" t="s">
        <v>32</v>
      </c>
      <c r="E15" s="91">
        <v>44865</v>
      </c>
      <c r="F15" s="85" t="s">
        <v>44</v>
      </c>
    </row>
    <row r="16" spans="2:6" x14ac:dyDescent="0.2">
      <c r="B16" s="86" t="s">
        <v>82</v>
      </c>
      <c r="C16" s="85" t="s">
        <v>83</v>
      </c>
      <c r="D16" s="84" t="s">
        <v>30</v>
      </c>
      <c r="E16" s="91">
        <v>45016</v>
      </c>
      <c r="F16" s="85" t="s">
        <v>43</v>
      </c>
    </row>
    <row r="17" spans="2:6" x14ac:dyDescent="0.2">
      <c r="B17" s="96" t="s">
        <v>84</v>
      </c>
      <c r="C17" s="85" t="s">
        <v>85</v>
      </c>
      <c r="D17" s="85" t="s">
        <v>31</v>
      </c>
      <c r="E17" s="91">
        <v>44834</v>
      </c>
      <c r="F17" s="85" t="s">
        <v>39</v>
      </c>
    </row>
    <row r="18" spans="2:6" x14ac:dyDescent="0.2">
      <c r="B18" s="86" t="s">
        <v>340</v>
      </c>
      <c r="C18" s="85" t="s">
        <v>86</v>
      </c>
      <c r="D18" s="85" t="s">
        <v>32</v>
      </c>
      <c r="E18" s="91">
        <v>45107</v>
      </c>
      <c r="F18" s="85" t="s">
        <v>39</v>
      </c>
    </row>
    <row r="19" spans="2:6" x14ac:dyDescent="0.2">
      <c r="B19" s="93" t="s">
        <v>87</v>
      </c>
      <c r="C19" s="91" t="s">
        <v>88</v>
      </c>
      <c r="D19" s="91" t="s">
        <v>30</v>
      </c>
      <c r="E19" s="91">
        <v>45077</v>
      </c>
      <c r="F19" s="100" t="s">
        <v>41</v>
      </c>
    </row>
    <row r="20" spans="2:6" x14ac:dyDescent="0.2">
      <c r="B20" s="114" t="s">
        <v>329</v>
      </c>
      <c r="C20" s="115" t="s">
        <v>89</v>
      </c>
      <c r="D20" s="116" t="s">
        <v>32</v>
      </c>
      <c r="E20" s="127">
        <v>45077</v>
      </c>
      <c r="F20" s="115" t="s">
        <v>41</v>
      </c>
    </row>
    <row r="21" spans="2:6" x14ac:dyDescent="0.2">
      <c r="B21" s="96" t="s">
        <v>90</v>
      </c>
      <c r="C21" s="99" t="s">
        <v>91</v>
      </c>
      <c r="D21" s="103" t="s">
        <v>31</v>
      </c>
      <c r="E21" s="91">
        <v>44834</v>
      </c>
      <c r="F21" s="95" t="s">
        <v>41</v>
      </c>
    </row>
    <row r="22" spans="2:6" x14ac:dyDescent="0.2">
      <c r="B22" s="105" t="s">
        <v>92</v>
      </c>
      <c r="C22" s="112" t="s">
        <v>93</v>
      </c>
      <c r="D22" s="84" t="s">
        <v>320</v>
      </c>
      <c r="E22" s="91">
        <v>45107</v>
      </c>
      <c r="F22" s="85" t="s">
        <v>42</v>
      </c>
    </row>
    <row r="23" spans="2:6" x14ac:dyDescent="0.2">
      <c r="B23" s="86" t="s">
        <v>94</v>
      </c>
      <c r="C23" s="95" t="s">
        <v>95</v>
      </c>
      <c r="D23" s="84" t="s">
        <v>320</v>
      </c>
      <c r="E23" s="91">
        <v>44865</v>
      </c>
      <c r="F23" s="85" t="s">
        <v>42</v>
      </c>
    </row>
    <row r="24" spans="2:6" x14ac:dyDescent="0.2">
      <c r="B24" s="114" t="s">
        <v>96</v>
      </c>
      <c r="C24" s="115" t="s">
        <v>97</v>
      </c>
      <c r="D24" s="116" t="s">
        <v>32</v>
      </c>
      <c r="E24" s="117">
        <v>44895</v>
      </c>
      <c r="F24" s="115" t="s">
        <v>39</v>
      </c>
    </row>
    <row r="25" spans="2:6" x14ac:dyDescent="0.2">
      <c r="B25" s="86" t="s">
        <v>305</v>
      </c>
      <c r="C25" s="85" t="s">
        <v>312</v>
      </c>
      <c r="D25" s="85" t="s">
        <v>32</v>
      </c>
      <c r="E25" s="91">
        <v>44957</v>
      </c>
      <c r="F25" s="85" t="s">
        <v>39</v>
      </c>
    </row>
    <row r="26" spans="2:6" x14ac:dyDescent="0.2">
      <c r="B26" s="86" t="s">
        <v>343</v>
      </c>
      <c r="C26" s="85" t="s">
        <v>98</v>
      </c>
      <c r="D26" s="84" t="s">
        <v>30</v>
      </c>
      <c r="E26" s="91">
        <v>45107</v>
      </c>
      <c r="F26" s="85" t="s">
        <v>44</v>
      </c>
    </row>
    <row r="27" spans="2:6" x14ac:dyDescent="0.2">
      <c r="B27" s="96" t="s">
        <v>326</v>
      </c>
      <c r="C27" s="85" t="s">
        <v>59</v>
      </c>
      <c r="D27" s="85" t="s">
        <v>32</v>
      </c>
      <c r="E27" s="91">
        <v>45016</v>
      </c>
      <c r="F27" s="122" t="s">
        <v>41</v>
      </c>
    </row>
    <row r="28" spans="2:6" x14ac:dyDescent="0.2">
      <c r="B28" s="86" t="s">
        <v>352</v>
      </c>
      <c r="C28" s="87" t="s">
        <v>99</v>
      </c>
      <c r="D28" s="92" t="s">
        <v>30</v>
      </c>
      <c r="E28" s="107">
        <v>45169</v>
      </c>
      <c r="F28" s="120" t="s">
        <v>45</v>
      </c>
    </row>
    <row r="29" spans="2:6" x14ac:dyDescent="0.2">
      <c r="B29" s="86" t="s">
        <v>100</v>
      </c>
      <c r="C29" s="87" t="s">
        <v>101</v>
      </c>
      <c r="D29" s="84" t="s">
        <v>30</v>
      </c>
      <c r="E29" s="101">
        <v>45077</v>
      </c>
      <c r="F29" s="120" t="s">
        <v>39</v>
      </c>
    </row>
    <row r="30" spans="2:6" x14ac:dyDescent="0.2">
      <c r="B30" s="86" t="s">
        <v>102</v>
      </c>
      <c r="C30" s="85" t="s">
        <v>103</v>
      </c>
      <c r="D30" s="84" t="s">
        <v>32</v>
      </c>
      <c r="E30" s="91">
        <v>45169</v>
      </c>
      <c r="F30" s="120" t="s">
        <v>44</v>
      </c>
    </row>
    <row r="31" spans="2:6" x14ac:dyDescent="0.2">
      <c r="B31" s="86" t="s">
        <v>104</v>
      </c>
      <c r="C31" s="85" t="s">
        <v>105</v>
      </c>
      <c r="D31" s="84" t="s">
        <v>30</v>
      </c>
      <c r="E31" s="91">
        <v>45016</v>
      </c>
      <c r="F31" s="85" t="s">
        <v>44</v>
      </c>
    </row>
    <row r="32" spans="2:6" x14ac:dyDescent="0.2">
      <c r="B32" s="86" t="s">
        <v>106</v>
      </c>
      <c r="C32" s="95" t="s">
        <v>107</v>
      </c>
      <c r="D32" s="85" t="s">
        <v>31</v>
      </c>
      <c r="E32" s="91">
        <v>44865</v>
      </c>
      <c r="F32" s="120" t="s">
        <v>39</v>
      </c>
    </row>
    <row r="33" spans="2:6" x14ac:dyDescent="0.2">
      <c r="B33" s="98" t="s">
        <v>324</v>
      </c>
      <c r="C33" s="95" t="s">
        <v>108</v>
      </c>
      <c r="D33" s="85" t="s">
        <v>32</v>
      </c>
      <c r="E33" s="91">
        <v>45016</v>
      </c>
      <c r="F33" s="85" t="s">
        <v>44</v>
      </c>
    </row>
    <row r="34" spans="2:6" x14ac:dyDescent="0.2">
      <c r="B34" s="86" t="s">
        <v>109</v>
      </c>
      <c r="C34" s="95" t="s">
        <v>110</v>
      </c>
      <c r="D34" s="85" t="s">
        <v>32</v>
      </c>
      <c r="E34" s="91">
        <v>45046</v>
      </c>
      <c r="F34" s="85" t="s">
        <v>40</v>
      </c>
    </row>
    <row r="35" spans="2:6" x14ac:dyDescent="0.2">
      <c r="B35" s="86" t="s">
        <v>321</v>
      </c>
      <c r="C35" s="85" t="s">
        <v>111</v>
      </c>
      <c r="D35" s="85" t="s">
        <v>33</v>
      </c>
      <c r="E35" s="91">
        <v>44957</v>
      </c>
      <c r="F35" s="87" t="s">
        <v>38</v>
      </c>
    </row>
    <row r="36" spans="2:6" x14ac:dyDescent="0.2">
      <c r="B36" s="98" t="s">
        <v>112</v>
      </c>
      <c r="C36" s="95" t="s">
        <v>113</v>
      </c>
      <c r="D36" s="85" t="s">
        <v>32</v>
      </c>
      <c r="E36" s="91">
        <v>44926</v>
      </c>
      <c r="F36" s="85" t="s">
        <v>39</v>
      </c>
    </row>
    <row r="37" spans="2:6" x14ac:dyDescent="0.2">
      <c r="B37" s="86" t="s">
        <v>114</v>
      </c>
      <c r="C37" s="87" t="s">
        <v>115</v>
      </c>
      <c r="D37" s="84" t="s">
        <v>30</v>
      </c>
      <c r="E37" s="91">
        <v>45138</v>
      </c>
      <c r="F37" s="85" t="s">
        <v>41</v>
      </c>
    </row>
    <row r="38" spans="2:6" x14ac:dyDescent="0.2">
      <c r="B38" s="86" t="s">
        <v>116</v>
      </c>
      <c r="C38" s="85" t="s">
        <v>117</v>
      </c>
      <c r="D38" s="85" t="s">
        <v>33</v>
      </c>
      <c r="E38" s="91">
        <v>45077</v>
      </c>
      <c r="F38" s="85" t="s">
        <v>38</v>
      </c>
    </row>
    <row r="39" spans="2:6" ht="16" x14ac:dyDescent="0.2">
      <c r="B39" s="106" t="s">
        <v>118</v>
      </c>
      <c r="C39" s="100" t="s">
        <v>119</v>
      </c>
      <c r="D39" s="109" t="s">
        <v>30</v>
      </c>
      <c r="E39" s="91">
        <v>44926</v>
      </c>
      <c r="F39" s="85" t="s">
        <v>45</v>
      </c>
    </row>
    <row r="40" spans="2:6" x14ac:dyDescent="0.2">
      <c r="B40" s="86" t="s">
        <v>120</v>
      </c>
      <c r="C40" s="85" t="s">
        <v>121</v>
      </c>
      <c r="D40" s="84" t="s">
        <v>30</v>
      </c>
      <c r="E40" s="91">
        <v>45077</v>
      </c>
      <c r="F40" s="85" t="s">
        <v>43</v>
      </c>
    </row>
    <row r="41" spans="2:6" x14ac:dyDescent="0.2">
      <c r="B41" s="86" t="s">
        <v>346</v>
      </c>
      <c r="C41" s="85" t="s">
        <v>122</v>
      </c>
      <c r="D41" s="84" t="s">
        <v>31</v>
      </c>
      <c r="E41" s="91">
        <v>45169</v>
      </c>
      <c r="F41" s="85" t="s">
        <v>41</v>
      </c>
    </row>
    <row r="42" spans="2:6" x14ac:dyDescent="0.2">
      <c r="B42" s="86" t="s">
        <v>327</v>
      </c>
      <c r="C42" s="85" t="s">
        <v>123</v>
      </c>
      <c r="D42" s="85" t="s">
        <v>32</v>
      </c>
      <c r="E42" s="91">
        <v>45016</v>
      </c>
      <c r="F42" s="85" t="s">
        <v>39</v>
      </c>
    </row>
    <row r="43" spans="2:6" x14ac:dyDescent="0.2">
      <c r="B43" s="111" t="s">
        <v>364</v>
      </c>
      <c r="C43" s="100" t="s">
        <v>124</v>
      </c>
      <c r="D43" s="129" t="s">
        <v>30</v>
      </c>
      <c r="E43" s="91">
        <v>45107</v>
      </c>
      <c r="F43" s="85" t="s">
        <v>39</v>
      </c>
    </row>
    <row r="44" spans="2:6" x14ac:dyDescent="0.2">
      <c r="B44" s="86" t="s">
        <v>362</v>
      </c>
      <c r="C44" s="95" t="s">
        <v>125</v>
      </c>
      <c r="D44" s="85" t="s">
        <v>32</v>
      </c>
      <c r="E44" s="91">
        <v>44865</v>
      </c>
      <c r="F44" s="85" t="s">
        <v>40</v>
      </c>
    </row>
    <row r="45" spans="2:6" x14ac:dyDescent="0.2">
      <c r="B45" s="90" t="s">
        <v>303</v>
      </c>
      <c r="C45" s="128" t="s">
        <v>310</v>
      </c>
      <c r="D45" s="88" t="s">
        <v>30</v>
      </c>
      <c r="E45" s="117">
        <v>45138</v>
      </c>
      <c r="F45" s="123" t="s">
        <v>37</v>
      </c>
    </row>
    <row r="46" spans="2:6" x14ac:dyDescent="0.2">
      <c r="B46" s="86" t="s">
        <v>126</v>
      </c>
      <c r="C46" s="85" t="s">
        <v>127</v>
      </c>
      <c r="D46" s="85" t="s">
        <v>35</v>
      </c>
      <c r="E46" s="91">
        <v>45169</v>
      </c>
      <c r="F46" s="85" t="s">
        <v>42</v>
      </c>
    </row>
    <row r="47" spans="2:6" x14ac:dyDescent="0.2">
      <c r="B47" s="86" t="s">
        <v>128</v>
      </c>
      <c r="C47" s="95" t="s">
        <v>129</v>
      </c>
      <c r="D47" s="85" t="s">
        <v>32</v>
      </c>
      <c r="E47" s="91">
        <v>44865</v>
      </c>
      <c r="F47" s="120" t="s">
        <v>41</v>
      </c>
    </row>
    <row r="48" spans="2:6" x14ac:dyDescent="0.2">
      <c r="B48" s="86" t="s">
        <v>334</v>
      </c>
      <c r="C48" s="85" t="s">
        <v>130</v>
      </c>
      <c r="D48" s="85" t="s">
        <v>32</v>
      </c>
      <c r="E48" s="91">
        <v>45077</v>
      </c>
      <c r="F48" s="120" t="s">
        <v>44</v>
      </c>
    </row>
    <row r="49" spans="2:6" x14ac:dyDescent="0.2">
      <c r="B49" s="86" t="s">
        <v>355</v>
      </c>
      <c r="C49" s="102" t="s">
        <v>131</v>
      </c>
      <c r="D49" s="103" t="s">
        <v>32</v>
      </c>
      <c r="E49" s="91">
        <v>44834</v>
      </c>
      <c r="F49" s="85" t="s">
        <v>44</v>
      </c>
    </row>
    <row r="50" spans="2:6" x14ac:dyDescent="0.2">
      <c r="B50" s="86" t="s">
        <v>365</v>
      </c>
      <c r="C50" s="85" t="s">
        <v>132</v>
      </c>
      <c r="D50" s="84" t="s">
        <v>33</v>
      </c>
      <c r="E50" s="91">
        <v>44926</v>
      </c>
      <c r="F50" s="85" t="s">
        <v>38</v>
      </c>
    </row>
    <row r="51" spans="2:6" x14ac:dyDescent="0.2">
      <c r="B51" s="86" t="s">
        <v>359</v>
      </c>
      <c r="C51" s="85" t="s">
        <v>133</v>
      </c>
      <c r="D51" s="85" t="s">
        <v>31</v>
      </c>
      <c r="E51" s="91">
        <v>45169</v>
      </c>
      <c r="F51" s="85" t="s">
        <v>44</v>
      </c>
    </row>
    <row r="52" spans="2:6" x14ac:dyDescent="0.2">
      <c r="B52" s="86" t="s">
        <v>360</v>
      </c>
      <c r="C52" s="85" t="s">
        <v>134</v>
      </c>
      <c r="D52" s="85" t="s">
        <v>31</v>
      </c>
      <c r="E52" s="91">
        <v>44834</v>
      </c>
      <c r="F52" s="85" t="s">
        <v>44</v>
      </c>
    </row>
    <row r="53" spans="2:6" x14ac:dyDescent="0.2">
      <c r="B53" s="114" t="s">
        <v>372</v>
      </c>
      <c r="C53" s="115" t="s">
        <v>135</v>
      </c>
      <c r="D53" s="116" t="s">
        <v>32</v>
      </c>
      <c r="E53" s="117">
        <v>44926</v>
      </c>
      <c r="F53" s="123" t="s">
        <v>44</v>
      </c>
    </row>
    <row r="54" spans="2:6" x14ac:dyDescent="0.2">
      <c r="B54" s="86" t="s">
        <v>136</v>
      </c>
      <c r="C54" s="85" t="s">
        <v>137</v>
      </c>
      <c r="D54" s="84" t="s">
        <v>32</v>
      </c>
      <c r="E54" s="91">
        <v>45077</v>
      </c>
      <c r="F54" s="85" t="s">
        <v>39</v>
      </c>
    </row>
    <row r="55" spans="2:6" x14ac:dyDescent="0.2">
      <c r="B55" s="93" t="s">
        <v>138</v>
      </c>
      <c r="C55" s="100" t="s">
        <v>139</v>
      </c>
      <c r="D55" s="109" t="s">
        <v>30</v>
      </c>
      <c r="E55" s="91">
        <v>45107</v>
      </c>
      <c r="F55" s="85" t="s">
        <v>42</v>
      </c>
    </row>
    <row r="56" spans="2:6" x14ac:dyDescent="0.2">
      <c r="B56" s="86" t="s">
        <v>140</v>
      </c>
      <c r="C56" s="85" t="s">
        <v>141</v>
      </c>
      <c r="D56" s="84" t="s">
        <v>30</v>
      </c>
      <c r="E56" s="91">
        <v>45169</v>
      </c>
      <c r="F56" s="87" t="s">
        <v>38</v>
      </c>
    </row>
    <row r="57" spans="2:6" x14ac:dyDescent="0.2">
      <c r="B57" s="114" t="s">
        <v>347</v>
      </c>
      <c r="C57" s="115" t="s">
        <v>142</v>
      </c>
      <c r="D57" s="116" t="s">
        <v>32</v>
      </c>
      <c r="E57" s="117">
        <v>45138</v>
      </c>
      <c r="F57" s="124" t="s">
        <v>44</v>
      </c>
    </row>
    <row r="58" spans="2:6" x14ac:dyDescent="0.2">
      <c r="B58" s="86" t="s">
        <v>143</v>
      </c>
      <c r="C58" s="85" t="s">
        <v>144</v>
      </c>
      <c r="D58" s="84" t="s">
        <v>32</v>
      </c>
      <c r="E58" s="91">
        <v>44926</v>
      </c>
      <c r="F58" s="87" t="s">
        <v>41</v>
      </c>
    </row>
    <row r="59" spans="2:6" x14ac:dyDescent="0.2">
      <c r="B59" s="86" t="s">
        <v>348</v>
      </c>
      <c r="C59" s="85" t="s">
        <v>145</v>
      </c>
      <c r="D59" s="84" t="s">
        <v>33</v>
      </c>
      <c r="E59" s="91">
        <v>45138</v>
      </c>
      <c r="F59" s="87" t="s">
        <v>45</v>
      </c>
    </row>
    <row r="60" spans="2:6" ht="16" x14ac:dyDescent="0.2">
      <c r="B60" s="118" t="s">
        <v>379</v>
      </c>
      <c r="C60" s="115" t="s">
        <v>146</v>
      </c>
      <c r="D60" s="119" t="s">
        <v>30</v>
      </c>
      <c r="E60" s="117">
        <v>44834</v>
      </c>
      <c r="F60" s="124" t="s">
        <v>45</v>
      </c>
    </row>
    <row r="61" spans="2:6" x14ac:dyDescent="0.2">
      <c r="B61" s="86" t="s">
        <v>306</v>
      </c>
      <c r="C61" s="85" t="s">
        <v>313</v>
      </c>
      <c r="D61" s="85" t="s">
        <v>32</v>
      </c>
      <c r="E61" s="91">
        <v>45077</v>
      </c>
      <c r="F61" s="84" t="s">
        <v>45</v>
      </c>
    </row>
    <row r="62" spans="2:6" x14ac:dyDescent="0.2">
      <c r="B62" s="86" t="s">
        <v>318</v>
      </c>
      <c r="C62" s="85" t="s">
        <v>317</v>
      </c>
      <c r="D62" s="85" t="s">
        <v>32</v>
      </c>
      <c r="E62" s="91">
        <v>45107</v>
      </c>
      <c r="F62" s="89" t="s">
        <v>42</v>
      </c>
    </row>
    <row r="63" spans="2:6" x14ac:dyDescent="0.2">
      <c r="B63" s="86" t="s">
        <v>147</v>
      </c>
      <c r="C63" s="95" t="s">
        <v>148</v>
      </c>
      <c r="D63" s="85" t="s">
        <v>33</v>
      </c>
      <c r="E63" s="91">
        <v>44957</v>
      </c>
      <c r="F63" s="87" t="s">
        <v>45</v>
      </c>
    </row>
    <row r="64" spans="2:6" x14ac:dyDescent="0.2">
      <c r="B64" s="86" t="s">
        <v>149</v>
      </c>
      <c r="C64" s="95" t="s">
        <v>150</v>
      </c>
      <c r="D64" s="103" t="s">
        <v>30</v>
      </c>
      <c r="E64" s="91">
        <v>44834</v>
      </c>
      <c r="F64" s="85" t="s">
        <v>41</v>
      </c>
    </row>
    <row r="65" spans="2:6" x14ac:dyDescent="0.2">
      <c r="B65" s="86" t="s">
        <v>151</v>
      </c>
      <c r="C65" s="85" t="s">
        <v>152</v>
      </c>
      <c r="D65" s="85" t="s">
        <v>29</v>
      </c>
      <c r="E65" s="91">
        <v>45016</v>
      </c>
      <c r="F65" s="87" t="s">
        <v>38</v>
      </c>
    </row>
    <row r="66" spans="2:6" x14ac:dyDescent="0.2">
      <c r="B66" s="86" t="s">
        <v>325</v>
      </c>
      <c r="C66" s="85" t="s">
        <v>153</v>
      </c>
      <c r="D66" s="85" t="s">
        <v>32</v>
      </c>
      <c r="E66" s="91">
        <v>45046</v>
      </c>
      <c r="F66" s="87" t="s">
        <v>44</v>
      </c>
    </row>
    <row r="67" spans="2:6" x14ac:dyDescent="0.2">
      <c r="B67" s="86" t="s">
        <v>280</v>
      </c>
      <c r="C67" s="85" t="s">
        <v>283</v>
      </c>
      <c r="D67" s="85" t="s">
        <v>32</v>
      </c>
      <c r="E67" s="91">
        <v>45138</v>
      </c>
      <c r="F67" s="87" t="s">
        <v>41</v>
      </c>
    </row>
    <row r="68" spans="2:6" ht="16" x14ac:dyDescent="0.2">
      <c r="B68" s="106" t="s">
        <v>381</v>
      </c>
      <c r="C68" s="95" t="s">
        <v>154</v>
      </c>
      <c r="D68" s="103" t="s">
        <v>30</v>
      </c>
      <c r="E68" s="91">
        <v>44895</v>
      </c>
      <c r="F68" s="87" t="s">
        <v>41</v>
      </c>
    </row>
    <row r="69" spans="2:6" x14ac:dyDescent="0.2">
      <c r="B69" s="86" t="s">
        <v>155</v>
      </c>
      <c r="C69" s="85" t="s">
        <v>284</v>
      </c>
      <c r="D69" s="84" t="s">
        <v>320</v>
      </c>
      <c r="E69" s="91">
        <v>44834</v>
      </c>
      <c r="F69" s="87" t="s">
        <v>42</v>
      </c>
    </row>
    <row r="70" spans="2:6" x14ac:dyDescent="0.2">
      <c r="B70" s="98" t="s">
        <v>156</v>
      </c>
      <c r="C70" s="95" t="s">
        <v>157</v>
      </c>
      <c r="D70" s="85" t="s">
        <v>30</v>
      </c>
      <c r="E70" s="91">
        <v>45016</v>
      </c>
      <c r="F70" s="87" t="s">
        <v>43</v>
      </c>
    </row>
    <row r="71" spans="2:6" x14ac:dyDescent="0.2">
      <c r="B71" s="86" t="s">
        <v>338</v>
      </c>
      <c r="C71" s="85" t="s">
        <v>158</v>
      </c>
      <c r="D71" s="84" t="s">
        <v>30</v>
      </c>
      <c r="E71" s="91">
        <v>45077</v>
      </c>
      <c r="F71" s="85" t="s">
        <v>42</v>
      </c>
    </row>
    <row r="72" spans="2:6" x14ac:dyDescent="0.2">
      <c r="B72" s="111" t="s">
        <v>380</v>
      </c>
      <c r="C72" s="110" t="s">
        <v>159</v>
      </c>
      <c r="D72" s="85" t="s">
        <v>30</v>
      </c>
      <c r="E72" s="91">
        <v>44834</v>
      </c>
      <c r="F72" s="87" t="s">
        <v>43</v>
      </c>
    </row>
    <row r="73" spans="2:6" ht="16" x14ac:dyDescent="0.2">
      <c r="B73" s="106" t="s">
        <v>160</v>
      </c>
      <c r="C73" s="85" t="s">
        <v>161</v>
      </c>
      <c r="D73" s="84" t="s">
        <v>30</v>
      </c>
      <c r="E73" s="91">
        <v>44834</v>
      </c>
      <c r="F73" s="99" t="s">
        <v>39</v>
      </c>
    </row>
    <row r="74" spans="2:6" x14ac:dyDescent="0.2">
      <c r="B74" s="86" t="s">
        <v>350</v>
      </c>
      <c r="C74" s="85" t="s">
        <v>162</v>
      </c>
      <c r="D74" s="85" t="s">
        <v>31</v>
      </c>
      <c r="E74" s="91">
        <v>45169</v>
      </c>
      <c r="F74" s="87" t="s">
        <v>39</v>
      </c>
    </row>
    <row r="75" spans="2:6" x14ac:dyDescent="0.2">
      <c r="B75" s="86" t="s">
        <v>351</v>
      </c>
      <c r="C75" s="85" t="s">
        <v>163</v>
      </c>
      <c r="D75" s="84" t="s">
        <v>33</v>
      </c>
      <c r="E75" s="107">
        <v>45138</v>
      </c>
      <c r="F75" s="87" t="s">
        <v>38</v>
      </c>
    </row>
    <row r="76" spans="2:6" x14ac:dyDescent="0.2">
      <c r="B76" s="114" t="s">
        <v>302</v>
      </c>
      <c r="C76" s="115" t="s">
        <v>309</v>
      </c>
      <c r="D76" s="116" t="s">
        <v>32</v>
      </c>
      <c r="E76" s="117">
        <v>45138</v>
      </c>
      <c r="F76" s="124" t="s">
        <v>40</v>
      </c>
    </row>
    <row r="77" spans="2:6" x14ac:dyDescent="0.2">
      <c r="B77" s="86" t="s">
        <v>304</v>
      </c>
      <c r="C77" s="85" t="s">
        <v>311</v>
      </c>
      <c r="D77" s="84" t="s">
        <v>370</v>
      </c>
      <c r="E77" s="91">
        <v>44926</v>
      </c>
      <c r="F77" s="85" t="s">
        <v>43</v>
      </c>
    </row>
    <row r="78" spans="2:6" x14ac:dyDescent="0.2">
      <c r="B78" s="93" t="s">
        <v>164</v>
      </c>
      <c r="C78" s="100" t="s">
        <v>165</v>
      </c>
      <c r="D78" s="84" t="s">
        <v>320</v>
      </c>
      <c r="E78" s="91">
        <v>45107</v>
      </c>
      <c r="F78" s="87" t="s">
        <v>43</v>
      </c>
    </row>
    <row r="79" spans="2:6" x14ac:dyDescent="0.2">
      <c r="B79" s="86" t="s">
        <v>166</v>
      </c>
      <c r="C79" s="85" t="s">
        <v>167</v>
      </c>
      <c r="D79" s="85" t="s">
        <v>31</v>
      </c>
      <c r="E79" s="91">
        <v>45107</v>
      </c>
      <c r="F79" s="85" t="s">
        <v>44</v>
      </c>
    </row>
    <row r="80" spans="2:6" x14ac:dyDescent="0.2">
      <c r="B80" s="86" t="s">
        <v>168</v>
      </c>
      <c r="C80" s="85" t="s">
        <v>169</v>
      </c>
      <c r="D80" s="84" t="s">
        <v>30</v>
      </c>
      <c r="E80" s="91">
        <v>44957</v>
      </c>
      <c r="F80" s="99" t="s">
        <v>39</v>
      </c>
    </row>
    <row r="81" spans="2:6" x14ac:dyDescent="0.2">
      <c r="B81" s="86" t="s">
        <v>170</v>
      </c>
      <c r="C81" s="85" t="s">
        <v>171</v>
      </c>
      <c r="D81" s="84" t="s">
        <v>32</v>
      </c>
      <c r="E81" s="91">
        <v>45169</v>
      </c>
      <c r="F81" s="87" t="s">
        <v>39</v>
      </c>
    </row>
    <row r="82" spans="2:6" x14ac:dyDescent="0.2">
      <c r="B82" s="86" t="s">
        <v>342</v>
      </c>
      <c r="C82" s="85" t="s">
        <v>172</v>
      </c>
      <c r="D82" s="85" t="s">
        <v>32</v>
      </c>
      <c r="E82" s="91">
        <v>45077</v>
      </c>
      <c r="F82" s="87" t="s">
        <v>41</v>
      </c>
    </row>
    <row r="83" spans="2:6" x14ac:dyDescent="0.2">
      <c r="B83" s="86" t="s">
        <v>173</v>
      </c>
      <c r="C83" s="85" t="s">
        <v>174</v>
      </c>
      <c r="D83" s="84" t="s">
        <v>32</v>
      </c>
      <c r="E83" s="91">
        <v>45016</v>
      </c>
      <c r="F83" s="94" t="s">
        <v>39</v>
      </c>
    </row>
    <row r="84" spans="2:6" x14ac:dyDescent="0.2">
      <c r="B84" s="114" t="s">
        <v>373</v>
      </c>
      <c r="C84" s="115" t="s">
        <v>307</v>
      </c>
      <c r="D84" s="116" t="s">
        <v>33</v>
      </c>
      <c r="E84" s="117">
        <v>45138</v>
      </c>
      <c r="F84" s="124" t="s">
        <v>37</v>
      </c>
    </row>
    <row r="85" spans="2:6" x14ac:dyDescent="0.2">
      <c r="B85" s="86" t="s">
        <v>175</v>
      </c>
      <c r="C85" s="85" t="s">
        <v>176</v>
      </c>
      <c r="D85" s="84" t="s">
        <v>30</v>
      </c>
      <c r="E85" s="91">
        <v>44895</v>
      </c>
      <c r="F85" s="87" t="s">
        <v>44</v>
      </c>
    </row>
    <row r="86" spans="2:6" x14ac:dyDescent="0.2">
      <c r="B86" s="86" t="s">
        <v>337</v>
      </c>
      <c r="C86" s="85" t="s">
        <v>177</v>
      </c>
      <c r="D86" s="85" t="s">
        <v>32</v>
      </c>
      <c r="E86" s="91">
        <v>45077</v>
      </c>
      <c r="F86" s="87" t="s">
        <v>39</v>
      </c>
    </row>
    <row r="87" spans="2:6" x14ac:dyDescent="0.2">
      <c r="B87" s="86" t="s">
        <v>178</v>
      </c>
      <c r="C87" s="85" t="s">
        <v>179</v>
      </c>
      <c r="D87" s="84" t="s">
        <v>30</v>
      </c>
      <c r="E87" s="91">
        <v>45107</v>
      </c>
      <c r="F87" s="87" t="s">
        <v>41</v>
      </c>
    </row>
    <row r="88" spans="2:6" x14ac:dyDescent="0.2">
      <c r="B88" s="93" t="s">
        <v>180</v>
      </c>
      <c r="C88" s="100" t="s">
        <v>181</v>
      </c>
      <c r="D88" s="109" t="s">
        <v>30</v>
      </c>
      <c r="E88" s="91">
        <v>45077</v>
      </c>
      <c r="F88" s="87" t="s">
        <v>45</v>
      </c>
    </row>
    <row r="89" spans="2:6" x14ac:dyDescent="0.2">
      <c r="B89" s="86" t="s">
        <v>336</v>
      </c>
      <c r="C89" s="85" t="s">
        <v>182</v>
      </c>
      <c r="D89" s="85" t="s">
        <v>30</v>
      </c>
      <c r="E89" s="91">
        <v>45046</v>
      </c>
      <c r="F89" s="87" t="s">
        <v>42</v>
      </c>
    </row>
    <row r="90" spans="2:6" x14ac:dyDescent="0.2">
      <c r="B90" s="86" t="s">
        <v>335</v>
      </c>
      <c r="C90" s="85" t="s">
        <v>183</v>
      </c>
      <c r="D90" s="85" t="s">
        <v>32</v>
      </c>
      <c r="E90" s="91">
        <v>45046</v>
      </c>
      <c r="F90" s="87" t="s">
        <v>39</v>
      </c>
    </row>
    <row r="91" spans="2:6" x14ac:dyDescent="0.2">
      <c r="B91" s="86" t="s">
        <v>328</v>
      </c>
      <c r="C91" s="85" t="s">
        <v>184</v>
      </c>
      <c r="D91" s="84" t="s">
        <v>33</v>
      </c>
      <c r="E91" s="91">
        <v>45077</v>
      </c>
      <c r="F91" s="87" t="s">
        <v>38</v>
      </c>
    </row>
    <row r="92" spans="2:6" x14ac:dyDescent="0.2">
      <c r="B92" s="86" t="s">
        <v>358</v>
      </c>
      <c r="C92" s="85" t="s">
        <v>185</v>
      </c>
      <c r="D92" s="85" t="s">
        <v>33</v>
      </c>
      <c r="E92" s="91">
        <v>45169</v>
      </c>
      <c r="F92" s="87" t="s">
        <v>38</v>
      </c>
    </row>
    <row r="93" spans="2:6" ht="16" x14ac:dyDescent="0.2">
      <c r="B93" s="104" t="s">
        <v>322</v>
      </c>
      <c r="C93" s="85" t="s">
        <v>186</v>
      </c>
      <c r="D93" s="85" t="s">
        <v>32</v>
      </c>
      <c r="E93" s="91">
        <v>44957</v>
      </c>
      <c r="F93" s="87" t="s">
        <v>37</v>
      </c>
    </row>
    <row r="94" spans="2:6" x14ac:dyDescent="0.2">
      <c r="B94" s="86" t="s">
        <v>367</v>
      </c>
      <c r="C94" s="85" t="s">
        <v>187</v>
      </c>
      <c r="D94" s="85" t="s">
        <v>29</v>
      </c>
      <c r="E94" s="91">
        <v>44926</v>
      </c>
      <c r="F94" s="85" t="s">
        <v>37</v>
      </c>
    </row>
    <row r="95" spans="2:6" ht="16" x14ac:dyDescent="0.2">
      <c r="B95" s="106" t="s">
        <v>374</v>
      </c>
      <c r="C95" s="110" t="s">
        <v>188</v>
      </c>
      <c r="D95" s="84" t="s">
        <v>30</v>
      </c>
      <c r="E95" s="91">
        <v>44834</v>
      </c>
      <c r="F95" s="87" t="s">
        <v>38</v>
      </c>
    </row>
    <row r="96" spans="2:6" x14ac:dyDescent="0.2">
      <c r="B96" s="86" t="s">
        <v>189</v>
      </c>
      <c r="C96" s="85" t="s">
        <v>190</v>
      </c>
      <c r="D96" s="84" t="s">
        <v>30</v>
      </c>
      <c r="E96" s="91">
        <v>45138</v>
      </c>
      <c r="F96" s="85" t="s">
        <v>44</v>
      </c>
    </row>
    <row r="97" spans="2:6" x14ac:dyDescent="0.2">
      <c r="B97" s="86" t="s">
        <v>354</v>
      </c>
      <c r="C97" s="85" t="s">
        <v>191</v>
      </c>
      <c r="D97" s="84" t="s">
        <v>33</v>
      </c>
      <c r="E97" s="91">
        <v>44865</v>
      </c>
      <c r="F97" s="87" t="s">
        <v>38</v>
      </c>
    </row>
    <row r="98" spans="2:6" x14ac:dyDescent="0.2">
      <c r="B98" s="86" t="s">
        <v>341</v>
      </c>
      <c r="C98" s="85" t="s">
        <v>192</v>
      </c>
      <c r="D98" s="85" t="s">
        <v>31</v>
      </c>
      <c r="E98" s="91">
        <v>45107</v>
      </c>
      <c r="F98" s="87" t="s">
        <v>41</v>
      </c>
    </row>
    <row r="99" spans="2:6" ht="16" x14ac:dyDescent="0.2">
      <c r="B99" s="106" t="s">
        <v>193</v>
      </c>
      <c r="C99" s="85" t="s">
        <v>194</v>
      </c>
      <c r="D99" s="84" t="s">
        <v>30</v>
      </c>
      <c r="E99" s="101">
        <v>44865</v>
      </c>
      <c r="F99" s="87" t="s">
        <v>44</v>
      </c>
    </row>
    <row r="100" spans="2:6" x14ac:dyDescent="0.2">
      <c r="B100" s="86" t="s">
        <v>195</v>
      </c>
      <c r="C100" s="85" t="s">
        <v>196</v>
      </c>
      <c r="D100" s="84" t="s">
        <v>30</v>
      </c>
      <c r="E100" s="91">
        <v>45077</v>
      </c>
      <c r="F100" s="87" t="s">
        <v>45</v>
      </c>
    </row>
    <row r="101" spans="2:6" ht="16" x14ac:dyDescent="0.2">
      <c r="B101" s="106" t="s">
        <v>197</v>
      </c>
      <c r="C101" s="85" t="s">
        <v>198</v>
      </c>
      <c r="D101" s="84" t="s">
        <v>30</v>
      </c>
      <c r="E101" s="101">
        <v>45016</v>
      </c>
      <c r="F101" s="85" t="s">
        <v>38</v>
      </c>
    </row>
    <row r="102" spans="2:6" x14ac:dyDescent="0.2">
      <c r="B102" s="86" t="s">
        <v>281</v>
      </c>
      <c r="C102" s="85" t="s">
        <v>267</v>
      </c>
      <c r="D102" s="85" t="s">
        <v>31</v>
      </c>
      <c r="E102" s="91">
        <v>45169</v>
      </c>
      <c r="F102" s="85" t="s">
        <v>41</v>
      </c>
    </row>
    <row r="103" spans="2:6" x14ac:dyDescent="0.2">
      <c r="B103" s="86" t="s">
        <v>199</v>
      </c>
      <c r="C103" s="85" t="s">
        <v>200</v>
      </c>
      <c r="D103" s="84" t="s">
        <v>33</v>
      </c>
      <c r="E103" s="91">
        <v>44865</v>
      </c>
      <c r="F103" s="87" t="s">
        <v>45</v>
      </c>
    </row>
    <row r="104" spans="2:6" x14ac:dyDescent="0.2">
      <c r="B104" s="86" t="s">
        <v>371</v>
      </c>
      <c r="C104" s="85" t="s">
        <v>314</v>
      </c>
      <c r="D104" s="84" t="s">
        <v>31</v>
      </c>
      <c r="E104" s="91">
        <v>45077</v>
      </c>
      <c r="F104" s="89" t="s">
        <v>42</v>
      </c>
    </row>
    <row r="105" spans="2:6" x14ac:dyDescent="0.2">
      <c r="B105" s="86" t="s">
        <v>201</v>
      </c>
      <c r="C105" s="95" t="s">
        <v>202</v>
      </c>
      <c r="D105" s="85" t="s">
        <v>31</v>
      </c>
      <c r="E105" s="91">
        <v>44957</v>
      </c>
      <c r="F105" s="87" t="s">
        <v>41</v>
      </c>
    </row>
    <row r="106" spans="2:6" x14ac:dyDescent="0.2">
      <c r="B106" s="86" t="s">
        <v>203</v>
      </c>
      <c r="C106" s="85" t="s">
        <v>204</v>
      </c>
      <c r="D106" s="84" t="s">
        <v>33</v>
      </c>
      <c r="E106" s="91">
        <v>45107</v>
      </c>
      <c r="F106" s="85" t="s">
        <v>45</v>
      </c>
    </row>
    <row r="107" spans="2:6" x14ac:dyDescent="0.2">
      <c r="B107" s="86" t="s">
        <v>205</v>
      </c>
      <c r="C107" s="95" t="s">
        <v>206</v>
      </c>
      <c r="D107" s="85" t="s">
        <v>33</v>
      </c>
      <c r="E107" s="91">
        <v>44865</v>
      </c>
      <c r="F107" s="87" t="s">
        <v>45</v>
      </c>
    </row>
    <row r="108" spans="2:6" x14ac:dyDescent="0.2">
      <c r="B108" s="86" t="s">
        <v>207</v>
      </c>
      <c r="C108" s="85" t="s">
        <v>208</v>
      </c>
      <c r="D108" s="85" t="s">
        <v>32</v>
      </c>
      <c r="E108" s="91">
        <v>45107</v>
      </c>
      <c r="F108" s="87" t="s">
        <v>41</v>
      </c>
    </row>
    <row r="109" spans="2:6" x14ac:dyDescent="0.2">
      <c r="B109" s="86" t="s">
        <v>209</v>
      </c>
      <c r="C109" s="87" t="s">
        <v>210</v>
      </c>
      <c r="D109" s="85" t="s">
        <v>31</v>
      </c>
      <c r="E109" s="91">
        <v>45107</v>
      </c>
      <c r="F109" s="87" t="s">
        <v>44</v>
      </c>
    </row>
    <row r="110" spans="2:6" x14ac:dyDescent="0.2">
      <c r="B110" s="86" t="s">
        <v>211</v>
      </c>
      <c r="C110" s="85" t="s">
        <v>212</v>
      </c>
      <c r="D110" s="85" t="s">
        <v>32</v>
      </c>
      <c r="E110" s="91">
        <v>45169</v>
      </c>
      <c r="F110" s="87" t="s">
        <v>37</v>
      </c>
    </row>
    <row r="111" spans="2:6" x14ac:dyDescent="0.2">
      <c r="B111" s="108" t="s">
        <v>213</v>
      </c>
      <c r="C111" s="85" t="s">
        <v>214</v>
      </c>
      <c r="D111" s="85" t="s">
        <v>320</v>
      </c>
      <c r="E111" s="91">
        <v>44957</v>
      </c>
      <c r="F111" s="85" t="s">
        <v>43</v>
      </c>
    </row>
    <row r="112" spans="2:6" x14ac:dyDescent="0.2">
      <c r="B112" s="86" t="s">
        <v>339</v>
      </c>
      <c r="C112" s="85" t="s">
        <v>215</v>
      </c>
      <c r="D112" s="85" t="s">
        <v>34</v>
      </c>
      <c r="E112" s="91">
        <v>45077</v>
      </c>
      <c r="F112" s="85" t="s">
        <v>43</v>
      </c>
    </row>
    <row r="113" spans="2:6" x14ac:dyDescent="0.2">
      <c r="B113" s="86" t="s">
        <v>216</v>
      </c>
      <c r="C113" s="85" t="s">
        <v>217</v>
      </c>
      <c r="D113" s="84" t="s">
        <v>31</v>
      </c>
      <c r="E113" s="91">
        <v>45046</v>
      </c>
      <c r="F113" s="95" t="s">
        <v>41</v>
      </c>
    </row>
    <row r="114" spans="2:6" ht="16" x14ac:dyDescent="0.2">
      <c r="B114" s="106" t="s">
        <v>218</v>
      </c>
      <c r="C114" s="85" t="s">
        <v>219</v>
      </c>
      <c r="D114" s="84" t="s">
        <v>30</v>
      </c>
      <c r="E114" s="101">
        <v>45138</v>
      </c>
      <c r="F114" s="87" t="s">
        <v>45</v>
      </c>
    </row>
    <row r="115" spans="2:6" x14ac:dyDescent="0.2">
      <c r="B115" s="86" t="s">
        <v>330</v>
      </c>
      <c r="C115" s="85" t="s">
        <v>220</v>
      </c>
      <c r="D115" s="84" t="s">
        <v>320</v>
      </c>
      <c r="E115" s="91">
        <v>44834</v>
      </c>
      <c r="F115" s="87" t="s">
        <v>42</v>
      </c>
    </row>
    <row r="116" spans="2:6" x14ac:dyDescent="0.2">
      <c r="B116" s="114" t="s">
        <v>376</v>
      </c>
      <c r="C116" s="115" t="s">
        <v>308</v>
      </c>
      <c r="D116" s="116" t="s">
        <v>30</v>
      </c>
      <c r="E116" s="117">
        <v>45169</v>
      </c>
      <c r="F116" s="124" t="s">
        <v>40</v>
      </c>
    </row>
    <row r="117" spans="2:6" x14ac:dyDescent="0.2">
      <c r="B117" s="105" t="s">
        <v>332</v>
      </c>
      <c r="C117" s="85" t="s">
        <v>221</v>
      </c>
      <c r="D117" s="105" t="s">
        <v>320</v>
      </c>
      <c r="E117" s="91">
        <v>44926</v>
      </c>
      <c r="F117" s="87" t="s">
        <v>42</v>
      </c>
    </row>
    <row r="118" spans="2:6" x14ac:dyDescent="0.2">
      <c r="B118" s="86" t="s">
        <v>353</v>
      </c>
      <c r="C118" s="85" t="s">
        <v>222</v>
      </c>
      <c r="D118" s="84" t="s">
        <v>30</v>
      </c>
      <c r="E118" s="91">
        <v>45138</v>
      </c>
      <c r="F118" s="125" t="s">
        <v>38</v>
      </c>
    </row>
    <row r="119" spans="2:6" x14ac:dyDescent="0.2">
      <c r="B119" s="126" t="s">
        <v>223</v>
      </c>
      <c r="C119" s="115" t="s">
        <v>224</v>
      </c>
      <c r="D119" s="115" t="s">
        <v>30</v>
      </c>
      <c r="E119" s="127">
        <v>44895</v>
      </c>
      <c r="F119" s="124" t="s">
        <v>45</v>
      </c>
    </row>
    <row r="120" spans="2:6" x14ac:dyDescent="0.2">
      <c r="B120" s="114" t="s">
        <v>331</v>
      </c>
      <c r="C120" s="115" t="s">
        <v>225</v>
      </c>
      <c r="D120" s="116" t="s">
        <v>33</v>
      </c>
      <c r="E120" s="117">
        <v>45046</v>
      </c>
      <c r="F120" s="124" t="s">
        <v>45</v>
      </c>
    </row>
    <row r="121" spans="2:6" x14ac:dyDescent="0.2">
      <c r="B121" s="86" t="s">
        <v>226</v>
      </c>
      <c r="C121" s="85" t="s">
        <v>227</v>
      </c>
      <c r="D121" s="85" t="s">
        <v>33</v>
      </c>
      <c r="E121" s="91">
        <v>44834</v>
      </c>
      <c r="F121" s="87" t="s">
        <v>45</v>
      </c>
    </row>
    <row r="122" spans="2:6" x14ac:dyDescent="0.2">
      <c r="B122" s="86" t="s">
        <v>228</v>
      </c>
      <c r="C122" s="85" t="s">
        <v>229</v>
      </c>
      <c r="D122" s="85" t="s">
        <v>31</v>
      </c>
      <c r="E122" s="91">
        <v>44895</v>
      </c>
      <c r="F122" s="85" t="s">
        <v>41</v>
      </c>
    </row>
    <row r="123" spans="2:6" x14ac:dyDescent="0.2">
      <c r="B123" s="86" t="s">
        <v>230</v>
      </c>
      <c r="C123" s="85" t="s">
        <v>231</v>
      </c>
      <c r="D123" s="85" t="s">
        <v>34</v>
      </c>
      <c r="E123" s="91">
        <v>45046</v>
      </c>
      <c r="F123" s="87" t="s">
        <v>45</v>
      </c>
    </row>
    <row r="124" spans="2:6" ht="16" x14ac:dyDescent="0.2">
      <c r="B124" s="106" t="s">
        <v>378</v>
      </c>
      <c r="C124" s="85" t="s">
        <v>232</v>
      </c>
      <c r="D124" s="84" t="s">
        <v>30</v>
      </c>
      <c r="E124" s="101">
        <v>45077</v>
      </c>
      <c r="F124" s="87" t="s">
        <v>43</v>
      </c>
    </row>
    <row r="125" spans="2:6" x14ac:dyDescent="0.2">
      <c r="B125" s="86" t="s">
        <v>233</v>
      </c>
      <c r="C125" s="85" t="s">
        <v>234</v>
      </c>
      <c r="D125" s="84" t="s">
        <v>30</v>
      </c>
      <c r="E125" s="91">
        <v>44895</v>
      </c>
      <c r="F125" s="125" t="s">
        <v>42</v>
      </c>
    </row>
    <row r="126" spans="2:6" x14ac:dyDescent="0.2">
      <c r="B126" s="86" t="s">
        <v>315</v>
      </c>
      <c r="C126" s="85" t="s">
        <v>316</v>
      </c>
      <c r="D126" s="84" t="s">
        <v>31</v>
      </c>
      <c r="E126" s="91">
        <v>45107</v>
      </c>
      <c r="F126" s="84" t="s">
        <v>42</v>
      </c>
    </row>
    <row r="127" spans="2:6" x14ac:dyDescent="0.2">
      <c r="B127" s="86" t="s">
        <v>377</v>
      </c>
      <c r="C127" s="85" t="s">
        <v>235</v>
      </c>
      <c r="D127" s="84" t="s">
        <v>30</v>
      </c>
      <c r="E127" s="101">
        <v>45016</v>
      </c>
      <c r="F127" s="85" t="s">
        <v>41</v>
      </c>
    </row>
    <row r="128" spans="2:6" x14ac:dyDescent="0.2">
      <c r="B128" s="86" t="s">
        <v>369</v>
      </c>
      <c r="C128" s="85" t="s">
        <v>236</v>
      </c>
      <c r="D128" s="84" t="s">
        <v>30</v>
      </c>
      <c r="E128" s="91">
        <v>44895</v>
      </c>
      <c r="F128" s="87" t="s">
        <v>43</v>
      </c>
    </row>
    <row r="129" spans="2:6" x14ac:dyDescent="0.2">
      <c r="B129" s="86" t="s">
        <v>349</v>
      </c>
      <c r="C129" s="85" t="s">
        <v>237</v>
      </c>
      <c r="D129" s="85" t="s">
        <v>33</v>
      </c>
      <c r="E129" s="91">
        <v>45107</v>
      </c>
      <c r="F129" s="87" t="s">
        <v>38</v>
      </c>
    </row>
    <row r="130" spans="2:6" x14ac:dyDescent="0.2">
      <c r="B130" s="86" t="s">
        <v>333</v>
      </c>
      <c r="C130" s="85" t="s">
        <v>239</v>
      </c>
      <c r="D130" s="84" t="s">
        <v>320</v>
      </c>
      <c r="E130" s="91">
        <v>44834</v>
      </c>
      <c r="F130" s="87" t="s">
        <v>43</v>
      </c>
    </row>
    <row r="131" spans="2:6" x14ac:dyDescent="0.2">
      <c r="B131" s="86" t="s">
        <v>323</v>
      </c>
      <c r="C131" s="85" t="s">
        <v>240</v>
      </c>
      <c r="D131" s="85" t="s">
        <v>33</v>
      </c>
      <c r="E131" s="91">
        <v>45107</v>
      </c>
      <c r="F131" s="85" t="s">
        <v>38</v>
      </c>
    </row>
    <row r="132" spans="2:6" x14ac:dyDescent="0.2">
      <c r="B132" s="86" t="s">
        <v>345</v>
      </c>
      <c r="C132" s="85" t="s">
        <v>238</v>
      </c>
      <c r="D132" s="84" t="s">
        <v>320</v>
      </c>
      <c r="E132" s="91">
        <v>45107</v>
      </c>
      <c r="F132" s="87" t="s">
        <v>43</v>
      </c>
    </row>
    <row r="133" spans="2:6" x14ac:dyDescent="0.2">
      <c r="B133" s="93" t="s">
        <v>241</v>
      </c>
      <c r="C133" s="100" t="s">
        <v>242</v>
      </c>
      <c r="D133" s="109" t="s">
        <v>30</v>
      </c>
      <c r="E133" s="101">
        <v>45138</v>
      </c>
      <c r="F133" s="85" t="s">
        <v>39</v>
      </c>
    </row>
    <row r="134" spans="2:6" ht="16" x14ac:dyDescent="0.2">
      <c r="B134" s="106" t="s">
        <v>243</v>
      </c>
      <c r="C134" s="85" t="s">
        <v>244</v>
      </c>
      <c r="D134" s="84" t="s">
        <v>30</v>
      </c>
      <c r="E134" s="101">
        <v>44985</v>
      </c>
      <c r="F134" s="85" t="s">
        <v>44</v>
      </c>
    </row>
    <row r="135" spans="2:6" x14ac:dyDescent="0.2">
      <c r="B135" s="126" t="s">
        <v>245</v>
      </c>
      <c r="C135" s="115" t="s">
        <v>246</v>
      </c>
      <c r="D135" s="115" t="s">
        <v>33</v>
      </c>
      <c r="E135" s="127">
        <v>45077</v>
      </c>
      <c r="F135" s="124" t="s">
        <v>38</v>
      </c>
    </row>
    <row r="136" spans="2:6" x14ac:dyDescent="0.2">
      <c r="B136" s="86" t="s">
        <v>247</v>
      </c>
      <c r="C136" s="85" t="s">
        <v>248</v>
      </c>
      <c r="D136" s="85" t="s">
        <v>32</v>
      </c>
      <c r="E136" s="91">
        <v>45107</v>
      </c>
      <c r="F136" s="85" t="s">
        <v>37</v>
      </c>
    </row>
    <row r="137" spans="2:6" x14ac:dyDescent="0.2">
      <c r="B137" s="86" t="s">
        <v>249</v>
      </c>
      <c r="C137" s="85" t="s">
        <v>250</v>
      </c>
      <c r="D137" s="84" t="s">
        <v>30</v>
      </c>
      <c r="E137" s="91">
        <v>45138</v>
      </c>
      <c r="F137" s="99" t="s">
        <v>39</v>
      </c>
    </row>
    <row r="138" spans="2:6" x14ac:dyDescent="0.2">
      <c r="B138" s="86" t="s">
        <v>285</v>
      </c>
      <c r="C138" s="95" t="s">
        <v>251</v>
      </c>
      <c r="D138" s="85" t="s">
        <v>31</v>
      </c>
      <c r="E138" s="91">
        <v>44834</v>
      </c>
      <c r="F138" s="87" t="s">
        <v>41</v>
      </c>
    </row>
    <row r="139" spans="2:6" x14ac:dyDescent="0.2">
      <c r="B139" s="86" t="s">
        <v>363</v>
      </c>
      <c r="C139" s="85" t="s">
        <v>252</v>
      </c>
      <c r="D139" s="85" t="s">
        <v>32</v>
      </c>
      <c r="E139" s="91">
        <v>44895</v>
      </c>
      <c r="F139" s="87" t="s">
        <v>39</v>
      </c>
    </row>
    <row r="140" spans="2:6" x14ac:dyDescent="0.2">
      <c r="B140" s="86" t="s">
        <v>253</v>
      </c>
      <c r="C140" s="85" t="s">
        <v>254</v>
      </c>
      <c r="D140" s="84" t="s">
        <v>32</v>
      </c>
      <c r="E140" s="91">
        <v>45138</v>
      </c>
      <c r="F140" s="85" t="s">
        <v>41</v>
      </c>
    </row>
    <row r="141" spans="2:6" x14ac:dyDescent="0.2">
      <c r="B141" s="86" t="s">
        <v>255</v>
      </c>
      <c r="C141" s="95" t="s">
        <v>256</v>
      </c>
      <c r="D141" s="85" t="s">
        <v>32</v>
      </c>
      <c r="E141" s="91">
        <v>44957</v>
      </c>
      <c r="F141" s="85" t="s">
        <v>44</v>
      </c>
    </row>
    <row r="142" spans="2:6" ht="16" x14ac:dyDescent="0.2">
      <c r="B142" s="106" t="s">
        <v>287</v>
      </c>
      <c r="C142" s="85" t="s">
        <v>257</v>
      </c>
      <c r="D142" s="84" t="s">
        <v>30</v>
      </c>
      <c r="E142" s="101">
        <v>45046</v>
      </c>
      <c r="F142" s="85" t="s">
        <v>44</v>
      </c>
    </row>
    <row r="143" spans="2:6" x14ac:dyDescent="0.2">
      <c r="B143" s="86" t="s">
        <v>258</v>
      </c>
      <c r="C143" s="85" t="s">
        <v>259</v>
      </c>
      <c r="D143" s="85" t="s">
        <v>32</v>
      </c>
      <c r="E143" s="91">
        <v>44985</v>
      </c>
      <c r="F143" s="85" t="s">
        <v>44</v>
      </c>
    </row>
    <row r="144" spans="2:6" x14ac:dyDescent="0.2">
      <c r="B144" s="86" t="s">
        <v>260</v>
      </c>
      <c r="C144" s="85" t="s">
        <v>261</v>
      </c>
      <c r="D144" s="84" t="s">
        <v>30</v>
      </c>
      <c r="E144" s="91">
        <v>44985</v>
      </c>
      <c r="F144" s="85" t="s">
        <v>41</v>
      </c>
    </row>
    <row r="145" spans="2:6" x14ac:dyDescent="0.2">
      <c r="B145" s="86" t="s">
        <v>368</v>
      </c>
      <c r="C145" s="95" t="s">
        <v>262</v>
      </c>
      <c r="D145" s="85" t="s">
        <v>33</v>
      </c>
      <c r="E145" s="91">
        <v>44895</v>
      </c>
      <c r="F145" s="85" t="s">
        <v>45</v>
      </c>
    </row>
    <row r="146" spans="2:6" x14ac:dyDescent="0.2">
      <c r="B146" s="111" t="s">
        <v>263</v>
      </c>
      <c r="C146" s="85" t="s">
        <v>264</v>
      </c>
      <c r="D146" s="84" t="s">
        <v>30</v>
      </c>
      <c r="E146" s="101">
        <v>44895</v>
      </c>
      <c r="F146" s="95" t="s">
        <v>38</v>
      </c>
    </row>
    <row r="147" spans="2:6" x14ac:dyDescent="0.2">
      <c r="B147" s="86" t="s">
        <v>344</v>
      </c>
      <c r="C147" s="95" t="s">
        <v>265</v>
      </c>
      <c r="D147" s="85" t="s">
        <v>31</v>
      </c>
      <c r="E147" s="91">
        <v>45107</v>
      </c>
      <c r="F147" s="85" t="s">
        <v>39</v>
      </c>
    </row>
    <row r="148" spans="2:6" x14ac:dyDescent="0.2">
      <c r="B148" s="86" t="s">
        <v>282</v>
      </c>
      <c r="C148" s="85" t="s">
        <v>266</v>
      </c>
      <c r="D148" s="85" t="s">
        <v>32</v>
      </c>
      <c r="E148" s="91">
        <v>44957</v>
      </c>
      <c r="F148" s="85" t="s">
        <v>39</v>
      </c>
    </row>
  </sheetData>
  <sortState xmlns:xlrd2="http://schemas.microsoft.com/office/spreadsheetml/2017/richdata2" ref="B2:E149">
    <sortCondition ref="B2:B149"/>
  </sortState>
  <conditionalFormatting sqref="D3:D5 D9:D10 D12 D18 D24 D41:D42">
    <cfRule type="expression" dxfId="11" priority="6">
      <formula>#REF!=$N$16</formula>
    </cfRule>
  </conditionalFormatting>
  <conditionalFormatting sqref="D6:D7 D16 D19 D23 D44">
    <cfRule type="expression" dxfId="10" priority="4">
      <formula>#REF!=$N$14</formula>
    </cfRule>
  </conditionalFormatting>
  <conditionalFormatting sqref="D8 D13:D14 D38">
    <cfRule type="expression" dxfId="9" priority="8">
      <formula>#REF!=$M$14</formula>
    </cfRule>
  </conditionalFormatting>
  <conditionalFormatting sqref="D11 D15 D22 D39 D45 D47">
    <cfRule type="expression" dxfId="8" priority="7">
      <formula>#REF!=$O$14</formula>
    </cfRule>
  </conditionalFormatting>
  <conditionalFormatting sqref="D17 D21">
    <cfRule type="expression" dxfId="7" priority="9">
      <formula>#REF!=$N$17</formula>
    </cfRule>
  </conditionalFormatting>
  <conditionalFormatting sqref="D20 D25:D26 D37">
    <cfRule type="expression" dxfId="6" priority="5">
      <formula>#REF!=$P$16</formula>
    </cfRule>
  </conditionalFormatting>
  <conditionalFormatting sqref="D27">
    <cfRule type="expression" dxfId="5" priority="10">
      <formula>#REF!=#REF!</formula>
    </cfRule>
  </conditionalFormatting>
  <conditionalFormatting sqref="D29:D35">
    <cfRule type="expression" dxfId="4" priority="12">
      <formula>#REF!=#REF!</formula>
    </cfRule>
  </conditionalFormatting>
  <conditionalFormatting sqref="D36">
    <cfRule type="expression" dxfId="3" priority="13">
      <formula>#REF!=$N$18</formula>
    </cfRule>
  </conditionalFormatting>
  <conditionalFormatting sqref="D48">
    <cfRule type="expression" dxfId="2" priority="3">
      <formula>#REF!=#REF!</formula>
    </cfRule>
  </conditionalFormatting>
  <conditionalFormatting sqref="D144:D145">
    <cfRule type="expression" dxfId="1" priority="2">
      <formula>#REF!=$N$14</formula>
    </cfRule>
  </conditionalFormatting>
  <conditionalFormatting sqref="D148">
    <cfRule type="expression" dxfId="0" priority="1">
      <formula>#REF!=$N$14</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C433D5605B0A4DA957D7D8E5EADB34" ma:contentTypeVersion="1" ma:contentTypeDescription="Create a new document." ma:contentTypeScope="" ma:versionID="a8d10ed700394dee7ea772c95d72666a">
  <xsd:schema xmlns:xsd="http://www.w3.org/2001/XMLSchema" xmlns:xs="http://www.w3.org/2001/XMLSchema" xmlns:p="http://schemas.microsoft.com/office/2006/metadata/properties" xmlns:ns2="ec4218cd-17c7-4382-84c7-6d040b9d8e7c" targetNamespace="http://schemas.microsoft.com/office/2006/metadata/properties" ma:root="true" ma:fieldsID="0a3ca19b5935f6752c2635df528f1c27" ns2:_="">
    <xsd:import namespace="ec4218cd-17c7-4382-84c7-6d040b9d8e7c"/>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218cd-17c7-4382-84c7-6d040b9d8e7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A2CA898-9687-4C87-9639-87EE01ED250D}">
  <ds:schemaRefs>
    <ds:schemaRef ds:uri="http://schemas.microsoft.com/sharepoint/v3/contenttype/forms"/>
  </ds:schemaRefs>
</ds:datastoreItem>
</file>

<file path=customXml/itemProps2.xml><?xml version="1.0" encoding="utf-8"?>
<ds:datastoreItem xmlns:ds="http://schemas.openxmlformats.org/officeDocument/2006/customXml" ds:itemID="{3E0EC77A-1882-40D2-8786-76AC905D7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218cd-17c7-4382-84c7-6d040b9d8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5C0EFA-9F4B-4D6E-B2A4-A5E7E09DFE15}">
  <ds:schemaRefs>
    <ds:schemaRef ds:uri="http://purl.org/dc/dcmitype/"/>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ec4218cd-17c7-4382-84c7-6d040b9d8e7c"/>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Risk points</vt:lpstr>
      <vt:lpstr>Guidance Questions</vt:lpstr>
      <vt:lpstr>Change History</vt:lpstr>
      <vt:lpstr>AMO</vt:lpstr>
      <vt:lpstr>Sheet1</vt:lpstr>
      <vt:lpstr>Sheet2</vt:lpstr>
      <vt:lpstr>'Risk points'!Print_Area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Weng Khin FONG (CAAS)</dc:creator>
  <dc:description>Updates in this revision: Enhanced automation with more calculated fields</dc:description>
  <cp:lastModifiedBy>Alvin Tai</cp:lastModifiedBy>
  <cp:lastPrinted>2021-08-16T08:46:52Z</cp:lastPrinted>
  <dcterms:created xsi:type="dcterms:W3CDTF">2016-02-23T02:52:45Z</dcterms:created>
  <dcterms:modified xsi:type="dcterms:W3CDTF">2026-04-17T13:54:47Z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0x0101008CC433D5605B0A4DA957D7D8E5EADB34</vt:lpwstr>
  </property>
  <property fmtid="{D5CDD505-2E9C-101B-9397-08002B2CF9AE}" pid="3" name="TaxKeyword">
    <vt:lpwstr/>
  </property>
  <property fmtid="{D5CDD505-2E9C-101B-9397-08002B2CF9AE}" pid="4" name="Taxonomy">
    <vt:lpwstr/>
  </property>
  <property fmtid="{D5CDD505-2E9C-101B-9397-08002B2CF9AE}" pid="5" name="MSIP_Label_54803508-8490-4252-b331-d9b72689e942_Enabled">
    <vt:lpwstr>true</vt:lpwstr>
  </property>
  <property fmtid="{D5CDD505-2E9C-101B-9397-08002B2CF9AE}" pid="6" name="MSIP_Label_54803508-8490-4252-b331-d9b72689e942_SetDate">
    <vt:lpwstr>2026-03-10T06:02:30Z</vt:lpwstr>
  </property>
  <property fmtid="{D5CDD505-2E9C-101B-9397-08002B2CF9AE}" pid="7" name="MSIP_Label_54803508-8490-4252-b331-d9b72689e942_Method">
    <vt:lpwstr>Privileged</vt:lpwstr>
  </property>
  <property fmtid="{D5CDD505-2E9C-101B-9397-08002B2CF9AE}" pid="8" name="MSIP_Label_54803508-8490-4252-b331-d9b72689e942_Name">
    <vt:lpwstr>Non Sensitive_0</vt:lpwstr>
  </property>
  <property fmtid="{D5CDD505-2E9C-101B-9397-08002B2CF9AE}" pid="9" name="MSIP_Label_54803508-8490-4252-b331-d9b72689e942_SiteId">
    <vt:lpwstr>0b11c524-9a1c-4e1b-84cb-6336aefc2243</vt:lpwstr>
  </property>
  <property fmtid="{D5CDD505-2E9C-101B-9397-08002B2CF9AE}" pid="10" name="MSIP_Label_54803508-8490-4252-b331-d9b72689e942_ActionId">
    <vt:lpwstr>87252ba5-eaf3-41ef-a224-62a0483aed95</vt:lpwstr>
  </property>
  <property fmtid="{D5CDD505-2E9C-101B-9397-08002B2CF9AE}" pid="11" name="MSIP_Label_54803508-8490-4252-b331-d9b72689e942_ContentBits">
    <vt:lpwstr>0</vt:lpwstr>
  </property>
</Properties>
</file>